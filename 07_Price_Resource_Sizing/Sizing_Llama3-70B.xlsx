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ipsi/ai_architect_hw/07_Price_Resource_Sizing/"/>
    </mc:Choice>
  </mc:AlternateContent>
  <xr:revisionPtr revIDLastSave="0" documentId="13_ncr:1_{34CFCAFC-EAFF-4F4E-B6CD-51925585229B}" xr6:coauthVersionLast="47" xr6:coauthVersionMax="47" xr10:uidLastSave="{00000000-0000-0000-0000-000000000000}"/>
  <bookViews>
    <workbookView xWindow="0" yWindow="500" windowWidth="36640" windowHeight="22780" tabRatio="500" activeTab="5" xr2:uid="{00000000-000D-0000-FFFF-FFFF00000000}"/>
  </bookViews>
  <sheets>
    <sheet name="Вводные" sheetId="1" r:id="rId1"/>
    <sheet name="VRAM" sheetId="2" r:id="rId2"/>
    <sheet name="GPU" sheetId="3" r:id="rId3"/>
    <sheet name="Облака" sheetId="4" r:id="rId4"/>
    <sheet name="Оптимизация" sheetId="5" r:id="rId5"/>
    <sheet name="Вывод" sheetId="6" r:id="rId6"/>
    <sheet name="Источники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9" i="4" l="1"/>
  <c r="D38" i="4"/>
  <c r="C28" i="4"/>
  <c r="E40" i="4" s="1"/>
  <c r="C27" i="4"/>
  <c r="C26" i="4"/>
  <c r="C25" i="4"/>
  <c r="C24" i="4"/>
  <c r="C23" i="4"/>
  <c r="E38" i="4" s="1"/>
  <c r="C19" i="4"/>
  <c r="C18" i="4"/>
  <c r="D40" i="4" s="1"/>
  <c r="C16" i="4"/>
  <c r="D41" i="4" s="1"/>
  <c r="C15" i="4"/>
  <c r="D33" i="4" s="1"/>
  <c r="E11" i="2"/>
  <c r="D11" i="2"/>
  <c r="C11" i="2"/>
  <c r="E8" i="2"/>
  <c r="E5" i="2"/>
  <c r="E6" i="2" s="1"/>
  <c r="D5" i="2"/>
  <c r="D6" i="2" s="1"/>
  <c r="C5" i="2"/>
  <c r="C6" i="2" s="1"/>
  <c r="G9" i="5" s="1"/>
  <c r="C28" i="1"/>
  <c r="C26" i="1"/>
  <c r="C23" i="1"/>
  <c r="C24" i="1" s="1"/>
  <c r="C16" i="1"/>
  <c r="C27" i="1" s="1"/>
  <c r="C14" i="1"/>
  <c r="D8" i="2" s="1"/>
  <c r="D17" i="3" l="1"/>
  <c r="D19" i="3" s="1"/>
  <c r="C17" i="3"/>
  <c r="C19" i="3" s="1"/>
  <c r="C20" i="3" s="1"/>
  <c r="D23" i="3"/>
  <c r="D25" i="3" s="1"/>
  <c r="D26" i="3" s="1"/>
  <c r="C23" i="3"/>
  <c r="C25" i="3" s="1"/>
  <c r="C26" i="3" s="1"/>
  <c r="H8" i="5"/>
  <c r="I8" i="5" s="1"/>
  <c r="E14" i="2"/>
  <c r="D14" i="2"/>
  <c r="D20" i="3"/>
  <c r="C9" i="2"/>
  <c r="G10" i="5"/>
  <c r="H10" i="5" s="1"/>
  <c r="I10" i="5" s="1"/>
  <c r="E9" i="2"/>
  <c r="D9" i="2"/>
  <c r="C11" i="3"/>
  <c r="C13" i="2"/>
  <c r="E11" i="3"/>
  <c r="E13" i="3" s="1"/>
  <c r="E17" i="3"/>
  <c r="E19" i="3" s="1"/>
  <c r="E20" i="3" s="1"/>
  <c r="E23" i="3"/>
  <c r="E25" i="3" s="1"/>
  <c r="E26" i="3" s="1"/>
  <c r="C17" i="4"/>
  <c r="C7" i="2"/>
  <c r="D13" i="2"/>
  <c r="F11" i="3"/>
  <c r="F13" i="3" s="1"/>
  <c r="F17" i="3"/>
  <c r="F19" i="3" s="1"/>
  <c r="F20" i="3" s="1"/>
  <c r="F23" i="3"/>
  <c r="F25" i="3" s="1"/>
  <c r="F26" i="3" s="1"/>
  <c r="D7" i="2"/>
  <c r="C10" i="2"/>
  <c r="E13" i="2"/>
  <c r="C12" i="3"/>
  <c r="C18" i="3"/>
  <c r="C24" i="3"/>
  <c r="E33" i="4"/>
  <c r="H9" i="5"/>
  <c r="I9" i="5" s="1"/>
  <c r="G12" i="5"/>
  <c r="E7" i="2"/>
  <c r="D10" i="2"/>
  <c r="D12" i="3"/>
  <c r="D18" i="3"/>
  <c r="D24" i="3"/>
  <c r="D34" i="4"/>
  <c r="H12" i="5"/>
  <c r="I12" i="5" s="1"/>
  <c r="C8" i="2"/>
  <c r="E10" i="2"/>
  <c r="E12" i="3"/>
  <c r="E18" i="3"/>
  <c r="E24" i="3"/>
  <c r="E34" i="4"/>
  <c r="G8" i="5"/>
  <c r="G11" i="5"/>
  <c r="H11" i="5" s="1"/>
  <c r="I11" i="5" s="1"/>
  <c r="F12" i="3"/>
  <c r="F18" i="3"/>
  <c r="F24" i="3"/>
  <c r="D11" i="3"/>
  <c r="D13" i="3" s="1"/>
  <c r="J10" i="5" l="1"/>
  <c r="C35" i="4"/>
  <c r="K10" i="5"/>
  <c r="E5" i="6" s="1"/>
  <c r="C36" i="4"/>
  <c r="J11" i="5"/>
  <c r="K11" i="5"/>
  <c r="E6" i="6" s="1"/>
  <c r="K9" i="5"/>
  <c r="J9" i="5"/>
  <c r="C14" i="2"/>
  <c r="C13" i="3"/>
  <c r="C14" i="3" s="1"/>
  <c r="J8" i="5"/>
  <c r="K8" i="5"/>
  <c r="K12" i="5"/>
  <c r="E7" i="6" s="1"/>
  <c r="J12" i="5"/>
  <c r="C37" i="4"/>
  <c r="D14" i="3"/>
  <c r="E14" i="3"/>
  <c r="F14" i="3"/>
  <c r="L11" i="5" l="1"/>
  <c r="D6" i="6"/>
  <c r="L12" i="5"/>
  <c r="D7" i="6"/>
  <c r="E35" i="4"/>
  <c r="D35" i="4"/>
  <c r="D36" i="4"/>
  <c r="E36" i="4"/>
  <c r="E37" i="4"/>
  <c r="D37" i="4"/>
  <c r="L10" i="5"/>
  <c r="D5" i="6"/>
</calcChain>
</file>

<file path=xl/sharedStrings.xml><?xml version="1.0" encoding="utf-8"?>
<sst xmlns="http://schemas.openxmlformats.org/spreadsheetml/2006/main" count="383" uniqueCount="292">
  <si>
    <t>Параметр</t>
  </si>
  <si>
    <t>Значение</t>
  </si>
  <si>
    <t>Ед. изм.</t>
  </si>
  <si>
    <t>Модель</t>
  </si>
  <si>
    <t>Llama-3-70B (dense, GQA)</t>
  </si>
  <si>
    <t>Параметры модели</t>
  </si>
  <si>
    <t>млрд</t>
  </si>
  <si>
    <t>байт</t>
  </si>
  <si>
    <t>шт</t>
  </si>
  <si>
    <t>config.json Llama-3-70B</t>
  </si>
  <si>
    <t>KV-головы (GQA)</t>
  </si>
  <si>
    <t>head_dim</t>
  </si>
  <si>
    <t>hidden 8192 / 64 головы = 128</t>
  </si>
  <si>
    <t>Байт на элемент KV-кэша</t>
  </si>
  <si>
    <t>KV хранится в FP16 даже при INT4-весах (W4A16)</t>
  </si>
  <si>
    <t>KV-кэш на 1 токен</t>
  </si>
  <si>
    <t>МБ</t>
  </si>
  <si>
    <t>2(K и V) × слои × KV-головы × head_dim × байт</t>
  </si>
  <si>
    <t>Нагрузка</t>
  </si>
  <si>
    <t>RPM</t>
  </si>
  <si>
    <t>RPS</t>
  </si>
  <si>
    <t>токенов</t>
  </si>
  <si>
    <t>допущение: типовой чат/RAG-профиль</t>
  </si>
  <si>
    <t>допущение</t>
  </si>
  <si>
    <t>Контекст сессии под KV</t>
  </si>
  <si>
    <t>500 вход + 500 выход + запас</t>
  </si>
  <si>
    <t>Запас на KV-кэш (правило лекции)</t>
  </si>
  <si>
    <t>доля</t>
  </si>
  <si>
    <t>Оверхед на 1 GPU (CUDA, драйверы)</t>
  </si>
  <si>
    <t>ГБ</t>
  </si>
  <si>
    <t>Часов в месяце</t>
  </si>
  <si>
    <t>ч</t>
  </si>
  <si>
    <t>24/7; 8760/12</t>
  </si>
  <si>
    <t>Ср. длина KV-сессии при декоде</t>
  </si>
  <si>
    <t>KV-память на 1 сессию (средняя)</t>
  </si>
  <si>
    <t>Скорость 1 потока без батчинга</t>
  </si>
  <si>
    <t>ток/с</t>
  </si>
  <si>
    <t>70B на A100-классе, один запрос</t>
  </si>
  <si>
    <t>Длительность одного запроса</t>
  </si>
  <si>
    <t>с</t>
  </si>
  <si>
    <t>Конкурентность (формула Литтла)</t>
  </si>
  <si>
    <t>сессий</t>
  </si>
  <si>
    <t>Потребный поток генерации (прод)</t>
  </si>
  <si>
    <t>Эффективность пропускной памяти (η)</t>
  </si>
  <si>
    <t>коэффициент roofline-модели (лист «Оптимизация»)</t>
  </si>
  <si>
    <t>Показатель</t>
  </si>
  <si>
    <t>FP16</t>
  </si>
  <si>
    <t>INT8</t>
  </si>
  <si>
    <t>INT4</t>
  </si>
  <si>
    <t>Формула / пояснение</t>
  </si>
  <si>
    <t>Байт на параметр</t>
  </si>
  <si>
    <t>2 / 1 / 0,5 байт</t>
  </si>
  <si>
    <t>Веса модели, ГБ</t>
  </si>
  <si>
    <t>параметры × байт: 70 млрд × 2 = 140 ГБ (FP16); × 1 = 70 ГБ; × 0,5 = 35 ГБ</t>
  </si>
  <si>
    <t>KV-кэш на 1 токен, МБ</t>
  </si>
  <si>
    <t>KV-кэш на сессию @4096, ГБ</t>
  </si>
  <si>
    <t>KV-кэш на сессию в среднем, ГБ</t>
  </si>
  <si>
    <t>KV-запас по правилу 20%, ГБ</t>
  </si>
  <si>
    <t>Оверхед на 1 GPU, ГБ</t>
  </si>
  <si>
    <t>CUDA-контекст и драйверы, до загрузки весов</t>
  </si>
  <si>
    <t>Минимум на 1 GPU-узел (веса + оверхед), ГБ</t>
  </si>
  <si>
    <t>KV на всю конкуррентность (макс. @4096), ГБ</t>
  </si>
  <si>
    <t>Шаг 1 (продолжение) · Сколько и каких GPU потребуется</t>
  </si>
  <si>
    <t>Критерий / GPU</t>
  </si>
  <si>
    <t>A100 80 ГБ</t>
  </si>
  <si>
    <t>A100 40 ГБ</t>
  </si>
  <si>
    <t>T4 16 ГБ</t>
  </si>
  <si>
    <t>VRAM, ГБ</t>
  </si>
  <si>
    <t>Пропускная способность памяти, ГБ/с</t>
  </si>
  <si>
    <t>FlashAttention-2 (нужен Ampere+)</t>
  </si>
  <si>
    <t>да</t>
  </si>
  <si>
    <t>нет (Turing)</t>
  </si>
  <si>
    <t>NVLink</t>
  </si>
  <si>
    <t>нет (PCIe)</t>
  </si>
  <si>
    <t>нет</t>
  </si>
  <si>
    <t>MIG (до 7 изолированных инстансов)</t>
  </si>
  <si>
    <t>GPU минимум (веса + оверхед), шт</t>
  </si>
  <si>
    <t>GPU по правилу 20% на KV, шт</t>
  </si>
  <si>
    <t>Свободно на KV при минимуме, ГБ</t>
  </si>
  <si>
    <t>Сессий @4096 в этом буфере, шт</t>
  </si>
  <si>
    <t>FP16 + vLLM</t>
  </si>
  <si>
    <t>8 реплик × 2 GPU + резерв = 16 × A100-80</t>
  </si>
  <si>
    <t>максимальное качество</t>
  </si>
  <si>
    <t>INT8 + vLLM</t>
  </si>
  <si>
    <t>4 реплики × 2 GPU + резерв = 8 × A100-80</t>
  </si>
  <si>
    <t>INT4 (AWQ) + vLLM</t>
  </si>
  <si>
    <t>4 реплики + 1 резерв = 5 × A100-80</t>
  </si>
  <si>
    <t>рекомендация при пройденном гейте качества</t>
  </si>
  <si>
    <t>Позиция прайса</t>
  </si>
  <si>
    <t>Цена</t>
  </si>
  <si>
    <t>Ед.</t>
  </si>
  <si>
    <t>Конфигурация / примечание</t>
  </si>
  <si>
    <t>Источник (проверено 2026-09-25)</t>
  </si>
  <si>
    <t>GPU A100 (платформа AMD EPYC)</t>
  </si>
  <si>
    <t>₽/GPU·ч</t>
  </si>
  <si>
    <t>gpu-standard-v3</t>
  </si>
  <si>
    <t>vCPU 100% (AMD EPYC)</t>
  </si>
  <si>
    <t>₽/ч</t>
  </si>
  <si>
    <t>RAM (AMD EPYC)</t>
  </si>
  <si>
    <t>₽/ГБ·ч</t>
  </si>
  <si>
    <t>прерываемая ВМ: только dev/тесты</t>
  </si>
  <si>
    <t>vCPU / RAM preemptible (AMD EPYC)</t>
  </si>
  <si>
    <t>0,3952 / 0,1207</t>
  </si>
  <si>
    <t>₽/ч; ₽/ГБ·ч</t>
  </si>
  <si>
    <t>GPU T4</t>
  </si>
  <si>
    <t>16 ГБ; Ice Lake</t>
  </si>
  <si>
    <t>GPU T4i (аналог L4: 24 ГБ GDDR6, 300 ГБ/с)</t>
  </si>
  <si>
    <t>Ice Lake</t>
  </si>
  <si>
    <t>vCPU / RAM (Ice Lake, для T4/T4i)</t>
  </si>
  <si>
    <t>1,15 / 0,3074</t>
  </si>
  <si>
    <t>g3.1: 1×A100-80, 28 vCPU, 119 ГБ RAM</t>
  </si>
  <si>
    <t>базовая конфигурация A100</t>
  </si>
  <si>
    <t>g3.1 preemptible (dev/тесты)</t>
  </si>
  <si>
    <t>в 2,5× дешевле обычной</t>
  </si>
  <si>
    <t>g3.2: 2×A100-80, 56 vCPU, 238 ГБ RAM</t>
  </si>
  <si>
    <t>тарификация линейная</t>
  </si>
  <si>
    <t>1×T4: 8 vCPU, 32 ГБ RAM</t>
  </si>
  <si>
    <t>1×T4i: 8 vCPU, 32 ГБ RAM</t>
  </si>
  <si>
    <t>аналог L4</t>
  </si>
  <si>
    <t>Ставка НДС (множитель, 2026 г.)</t>
  </si>
  <si>
    <t>×</t>
  </si>
  <si>
    <t>прайсы Cloud.ru публикуются без НДС</t>
  </si>
  <si>
    <t>Evolution: A100 80 ГБ PCI, 1 GPU (20 vCPU/125 ГБ)</t>
  </si>
  <si>
    <t>260 ₽/ч без НДС; поз. 20 прил. №7.EVO.1G</t>
  </si>
  <si>
    <t>Evolution: A100 80 ГБ PCI, 2 GPU (40/250)</t>
  </si>
  <si>
    <t>520 ₽/ч без НДС; поз. 27</t>
  </si>
  <si>
    <t>Evolution: A100 80 ГБ NVLink AMD, 2 GPU (56/470)</t>
  </si>
  <si>
    <t>700 ₽/ч без НДС; поз. 3; быстрый интерконнект для тензорного параллелизма</t>
  </si>
  <si>
    <t>Evolution: A100 40 ГБ PCI, 1 GPU (24/220)</t>
  </si>
  <si>
    <t>210 ₽/ч без НДС; поз. 22</t>
  </si>
  <si>
    <t>Evolution: V100, 1 GPU (4/64)</t>
  </si>
  <si>
    <t>200 ₽/ч без НДС; поз. 24</t>
  </si>
  <si>
    <t>VMware vDC: 1× T4, 8 vCPU/32 ГБ (Reservation, месяц)</t>
  </si>
  <si>
    <t>₽/мес</t>
  </si>
  <si>
    <t>L4 / L40S</t>
  </si>
  <si>
    <t>нет в публичном прайсе</t>
  </si>
  <si>
    <t>Сравнение за месяц (730 ч, 24/7) по конфигурациям из листов «GPU» и «Оптимизация»</t>
  </si>
  <si>
    <t>Конфигурация</t>
  </si>
  <si>
    <t>GPU, шт</t>
  </si>
  <si>
    <t>Yandex ₽/мес</t>
  </si>
  <si>
    <t>Cloud.ru ₽/мес</t>
  </si>
  <si>
    <t>Комментарий</t>
  </si>
  <si>
    <t>стартовый вариант без KV-запаса</t>
  </si>
  <si>
    <t>8 реплик × 2 GPU + резерв</t>
  </si>
  <si>
    <t>4 реплики × 2 GPU + резерв</t>
  </si>
  <si>
    <t>4 реплики + 1 резерв</t>
  </si>
  <si>
    <t>только низкий трафик / тест качества</t>
  </si>
  <si>
    <t>не для прода: пропускная способность памяти в ~6,8× ниже A100</t>
  </si>
  <si>
    <t>прерываемая ВМ, в 2,5× дешевле</t>
  </si>
  <si>
    <t>Сценарий</t>
  </si>
  <si>
    <t>Движок / метод</t>
  </si>
  <si>
    <t>Формат</t>
  </si>
  <si>
    <t>GPU на реплику</t>
  </si>
  <si>
    <t>Батч B</t>
  </si>
  <si>
    <t>Ток/с на реплику</t>
  </si>
  <si>
    <t>₽/мес Yandex</t>
  </si>
  <si>
    <t>₽/мес Cloud.ru</t>
  </si>
  <si>
    <t>Экономия vs B</t>
  </si>
  <si>
    <t>Roofline-модель (memory-bound декод): ток/с = B × η × (N_GPU × 2039 ГБ/с) / (веса_ГБ + B × KV_сессии_ГБ)</t>
  </si>
  <si>
    <t>A. Без батчинга</t>
  </si>
  <si>
    <t>HF Transformers, 1 запрос за раз</t>
  </si>
  <si>
    <t>B. Статический батчинг 16</t>
  </si>
  <si>
    <t>движок со статическим батчем</t>
  </si>
  <si>
    <t>C. vLLM: continuous batching + PagedAttention + FA2</t>
  </si>
  <si>
    <t>vLLM</t>
  </si>
  <si>
    <t>D. vLLM + INT4 (AWQ) + гейт качества</t>
  </si>
  <si>
    <t>Откуда коэффициенты выигрыша (проверяемые источники)</t>
  </si>
  <si>
    <t>Шаг 4 · Рекомендуемая конфигурация</t>
  </si>
  <si>
    <t>Вариант</t>
  </si>
  <si>
    <t>GPU (с резервом)</t>
  </si>
  <si>
    <t>Базовый (позиция лекции): vLLM + FP16</t>
  </si>
  <si>
    <t>16 × A100-80</t>
  </si>
  <si>
    <t>максимальное качество; 8 реплик × 2 GPU + резерв</t>
  </si>
  <si>
    <t>Компромисс (граница лекции): vLLM + INT8</t>
  </si>
  <si>
    <t>8 × A100-80</t>
  </si>
  <si>
    <t>Рекомендуемый: vLLM + INT4 (AWQ) + гейт качества</t>
  </si>
  <si>
    <t>5 × A100-80</t>
  </si>
  <si>
    <t>Источники цен и данных (проверено 25.09.2026)</t>
  </si>
  <si>
    <t>№</t>
  </si>
  <si>
    <t>Что</t>
  </si>
  <si>
    <t>Ссылка</t>
  </si>
  <si>
    <t>Дата проверки</t>
  </si>
  <si>
    <t>Прайс Yandex Compute Cloud (A100 408,12 ₽; T4 70,27 ₽; T4i 158,11 ₽; V100 261,28 ₽ за GPU·ч; vCPU/RAM; preemptible)</t>
  </si>
  <si>
    <t>https://docs.yandex.cloud/ru/ru/compute/pricing.md</t>
  </si>
  <si>
    <t>2026-09-25</t>
  </si>
  <si>
    <t>регион «Россия», с НДС; действуют с 30.04.2026</t>
  </si>
  <si>
    <t>Конфигурации GPU Yandex (g3.1 = 1×A100-80, 28 vCPU/119 ГБ; T4i 24 ГБ GDDR6, 300 ГБ/с)</t>
  </si>
  <si>
    <t>https://docs.yandex.cloud/ru/ru/compute/concepts/gpus.md</t>
  </si>
  <si>
    <t>Cloud.ru, тариф «Evolution Compute. GPU» (прил. №7.EVO.1G, вер. 260909): A100-80 PCI 260 ₽/ч без НДС за 1 GPU</t>
  </si>
  <si>
    <t>https://cdn.cloud.ru/docs/legal/tariffs/evolution/current-version/evolution-compute-gpu.pdf</t>
  </si>
  <si>
    <t>https://cdn.cloud.ru/docs/legal/tariffs/vmware/current-version/vdc-gpu.pdf</t>
  </si>
  <si>
    <t>Reservation/месяц; в Evolution T4 нет, L4/L40S в публичных прайсах нет</t>
  </si>
  <si>
    <t>Cloud.ru, реестр тарифов (приложения к договору)</t>
  </si>
  <si>
    <t>https://cloud.ru/documents/tariffs/index</t>
  </si>
  <si>
    <t>структура current-version / future-version</t>
  </si>
  <si>
    <t>vLLM: PagedAttention (до 24× против HF Transformers, до 3,5× против TGI, кейс LMSYS −50% GPU)</t>
  </si>
  <si>
    <t>https://web.archive.org/web/2024/https://vllm.ai/blog/2023-06-20-vllm</t>
  </si>
  <si>
    <t>Статья vLLM «Efficient Memory Management for LLM Serving with PagedAttention»</t>
  </si>
  <si>
    <t>https://arxiv.org/abs/2309.06180</t>
  </si>
  <si>
    <t>первоисточник</t>
  </si>
  <si>
    <t>https://huggingface.co/NousResearch/Meta-Llama-3-70B/blob/main/config.json</t>
  </si>
  <si>
    <t>зеркало весов Meta</t>
  </si>
  <si>
    <t>https://huggingface.co/spaces/NyxKrage/LLM-Model-VRAM-Calculator</t>
  </si>
  <si>
    <t>второй: apxml.com/tools/vram-calculator</t>
  </si>
  <si>
    <t>стандарт прода (fp16/bf16)</t>
  </si>
  <si>
    <t>«минимум для прода»</t>
  </si>
  <si>
    <t>по тех. заданию</t>
  </si>
  <si>
    <t>1–2 ГБ, занято до загрузки весов</t>
  </si>
  <si>
    <t>Sizing инференса Llama-3-70B - вводные данные и допущения</t>
  </si>
  <si>
    <t>-</t>
  </si>
  <si>
    <t>Байт на параметр - FP16</t>
  </si>
  <si>
    <t>Байт на параметр - INT8</t>
  </si>
  <si>
    <t>Байт на параметр - INT4</t>
  </si>
  <si>
    <t>экстремальная схема; AWQ - самый зрелый метод</t>
  </si>
  <si>
    <t>Токенов на запрос - вход (prompt)</t>
  </si>
  <si>
    <t>Токенов на запрос - выход (generation)</t>
  </si>
  <si>
    <t>1000 / 60 ~ 16,7 запросов/с</t>
  </si>
  <si>
    <t>~20% сверх весов</t>
  </si>
  <si>
    <t>0,328 МБ × 750 ~ 0,25 ГБ</t>
  </si>
  <si>
    <t>~ выход / скорость потока</t>
  </si>
  <si>
    <t>~ RPS × длительность запроса</t>
  </si>
  <si>
    <t>1000 RPM × 500 выходных / 60 ~ 8 333</t>
  </si>
  <si>
    <t>Формула памяти: VRAM = параметры × байт/параметр + KV-кэш + оверхед; на KV-кэш и запасы закладывается ~20% сверх весов.</t>
  </si>
  <si>
    <t>0,328 МБ × 4096 ~ 1,34 ГБ (максимум на пике контекста)</t>
  </si>
  <si>
    <t>~ 0,25 ГБ (вход 500 + выход/2)</t>
  </si>
  <si>
    <t>~334 сессии × 1,34 ГБ - не влезает ни в один узел → сайзинг по пропускной способности (лист «Оптимизация»)</t>
  </si>
  <si>
    <t>Шаг 1 · Расчет VRAM: веса + KV-кэш + оверхед</t>
  </si>
  <si>
    <t>2 × 80 слоев × 8 KV-голов × 128 × 2 байт = 0,328 МБ</t>
  </si>
  <si>
    <t>Сводка по одной реплике и проверка емкости на всю нагрузку</t>
  </si>
  <si>
    <t>сколько GPU какого объема нужно - лист «GPU»</t>
  </si>
  <si>
    <t>Примечание к INT4: реальные AWQ/GPTQ-чекпоинты 70B занимают ~38–42 ГБ (эмбеддинги, lm_head и нормализация остаются в FP16). Основной расчет - по чистой формуле «параметры × байт»; при фактических 40 ГБ потребуется: L4 - 3 шт, T4 - 4 шт, A100-80 - без изменений (1 шт).</t>
  </si>
  <si>
    <t>Чувствительность к допущению: при сценарии 1К вход / 1К выход и контексте 8192 KV на сессию вырастает до 2,68 ГБ - емкость буфера по сессиям падает вдвое.</t>
  </si>
  <si>
    <t>80 слоев, 8 KV-голов (config.json - лист «Источники»)</t>
  </si>
  <si>
    <t>Число слоев трансформера</t>
  </si>
  <si>
    <t>вход + выход/2 (KV растет в процессе генерации)</t>
  </si>
  <si>
    <t>Желтые ячейки - редактируемые допущения, остальные значения считаются формулами. Все единицы - десятичные ГБ (VRAM по даташитам указана в GiB → дает дополнительный запас 5–7%).</t>
  </si>
  <si>
    <t>рекомендация: ~20% сверх весов</t>
  </si>
  <si>
    <t>L4 24 ГБ (в Yandex - T4i)</t>
  </si>
  <si>
    <t>INT4 - веса 35 ГБ (максимальная экономия памяти)</t>
  </si>
  <si>
    <t>A100-40: влезает только с урезанным KV (~3,5 ГБ ~ 2–3 сессии) - не рекомендуется. L4/T4 «вмещают» INT4, но для 70B непригодны в проде - см. блок ниже.</t>
  </si>
  <si>
    <t>Проверка на прод-нагрузку (1000 RPM ~ 8 333 ток/с) - сводка листа «Оптимизация»</t>
  </si>
  <si>
    <t>Числа прод-блока считаются формулами на листе «Оптимизация» (roofline-модель с учетом чтения весов и KV-кэша); здесь - сводка.</t>
  </si>
  <si>
    <t>FP16 - веса 140 ГБ (максимальное качество)</t>
  </si>
  <si>
    <t>«2 × A100 80» - минимум-влезание. Прод-нагрузка 1000 RPM требует больше: 2×A100 отвечают на вопрос «влезет ли», прод-кластер (лист «Оптимизация») - «выдержит ли 8 333 ток/с».</t>
  </si>
  <si>
    <t>INT8 - веса 70 ГБ («минимум для прода»)</t>
  </si>
  <si>
    <t>На 1×A100-80 с 20%-запасом не влезает (70 + 14 + 1,5 &gt; 80 ГБ) -&gt; реплика из 2 GPU.</t>
  </si>
  <si>
    <t>Почему не L4/T4 для 70B: инференс memory-bound - у L4/T4 пропускная способность памяти ~300 ГБ/с против 2 039 ГБ/с у A100-80 (в ~6,8 раза ниже) -&gt; декод кратно медленнее, для 1000 RPM потребовались бы сотни карт; T4 (Turing) не поддерживает FlashAttention, L4/T4 - без NVLink (тензорный параллелизм через PCIe) и без MIG.</t>
  </si>
  <si>
    <t>компромисс</t>
  </si>
  <si>
    <t>+ KV-запас</t>
  </si>
  <si>
    <t>Шаг 2 · Стоимость аренды GPU за месяц - Yandex Cloud и Cloud.ru (₽ с НДС)</t>
  </si>
  <si>
    <t>Yandex Cloud - прайс (регион «Россия»)</t>
  </si>
  <si>
    <t>docs.yandex.cloud/ru/ru/compute/pricing.md - с 30.04.2026, вкл. НДС</t>
  </si>
  <si>
    <t>A100 preemptible - GPU</t>
  </si>
  <si>
    <t>cdn.cloud.ru/docs/legal/tariffs/… (EVO.1G вер. 260909; VMW.1.3 вер. 260619) - без НДС ×1,22</t>
  </si>
  <si>
    <t>50 500 ₽/мес без НДС; поз. 19 прил. №7.VMW.1.3 - помесячная подписка, не pay-as-you-go</t>
  </si>
  <si>
    <t>ближайший аналог L4 в облаках РФ - Yandex T4i</t>
  </si>
  <si>
    <t>FP16, минимум «влезет» - 2×A100-80</t>
  </si>
  <si>
    <t>FP16, по правилу 20% - 3×A100-80</t>
  </si>
  <si>
    <t>FP16 прод (vLLM) - 16×A100-80</t>
  </si>
  <si>
    <t>INT8 прод (vLLM) - 8×A100-80</t>
  </si>
  <si>
    <t>INT4 прод (vLLM, рекомендация) - 5×A100-80</t>
  </si>
  <si>
    <t>INT4 минимум - 1×A100-80</t>
  </si>
  <si>
    <t>INT4 на L4/T4i - 2×T4i</t>
  </si>
  <si>
    <t>INT4 на T4 - 3×T4</t>
  </si>
  <si>
    <t>не для прода: T4 без FlashAttention; Cloud.ru - помесячный Reservation</t>
  </si>
  <si>
    <t>Dev-стенд - 1×A100-80 preemptible</t>
  </si>
  <si>
    <t>Yandex: инстанс g3.1 (1×A100-80 + vCPU/RAM); для N GPU - N инстансов g3.1 или g3.2 на 2 GPU (тарификация линейная). Cloud.ru: A100-80 PCI за GPU·час с НДС 22%; T4 - только помесячный Reservation в VMware-тарифе (напрямую с почасовым не сравнивать). Цены Yandex уже включают НДС.</t>
  </si>
  <si>
    <t>Вывод по облакам: A100-80 в Cloud.ru (~317 ₽/ч с НДС) примерно на треть дешевле Yandex (~472 ₽/ч); у Yandex - preemptible для dev (в 2,5× дешевле) и зрелый managed-стек. Полные ссылки - лист «Источники».</t>
  </si>
  <si>
    <t>Cloud.ru - прайс (пересчет с НДС 22%)</t>
  </si>
  <si>
    <t>Шаг 3 · Батчинг и vLLM: сколько стоит 1000 RPM и что дает оптимизация</t>
  </si>
  <si>
    <t>Реплик (расчет)</t>
  </si>
  <si>
    <t>За шаг декода GPU читает из памяти веса (целиком) и KV-кэш всех сессий батча. η - эффективность пропускной памяти (Вводные!C29 = 70%). Батч ограничен свободной VRAM: (N×80 − веса − 1,5×N) / KV на сессию.</t>
  </si>
  <si>
    <t>vLLM (архивная копия vllm.ai/blog/2023-06-20-vllm и arXiv:2309.06180): до 24× throughput против HF Transformers, до 3,5× против TGI; кейс LMSYS Chatbot Arena - вдвое меньше GPU при том же трафике. Оговорка: замеры в блоге - LLaMA-7B/13B; для 70B выигрыш скромнее, поэтому ток/с здесь считается консервативной roofline-моделью, а не переносом «24×».</t>
  </si>
  <si>
    <t>GPU всего (с резервом)</t>
  </si>
  <si>
    <t>C'. vLLM + INT8 (граница «для прода»)</t>
  </si>
  <si>
    <t>Физика выигрыша: инференс memory-bound - веса читаются из VRAM один раз на шаг и работают сразу на весь батч; continuous batching держит батч полным (освободившийся слот сразу занимает новый запрос); PagedAttention убирает избыточное резервирование и фрагментацию KV; FlashAttention ускоряет prefill. Сценарий A - иллюстративный, так прод не запускают.</t>
  </si>
  <si>
    <t>Батч C = 68 ограничен свободной VRAM реплики FP16: (160 − 140 − 3) / 0,25 ГБ ~ 68 сессий; для INT8/INT4 память не лимитирует - взят 96 (желтая редактируемая ячейка). Резерв +1 реплика в C, C', D - «нагрузочный тест на двойном пике»; A и B - без резерва (иллюстративные).</t>
  </si>
  <si>
    <t>вдвое дешевле FP16; int8 - «минимум для прода»</t>
  </si>
  <si>
    <t>4) Почему не T4/L4 для 70B. Инференс memory-bound: у L4/T4 память ~300 ГБ/с против 2 039 ГБ/с у A100-80 - декод в десятки раз медленнее, на 1000 RPM нужны сотни карт; T4 (Turing) без FlashAttention; L4/T4 без NVLink и MIG. Они годятся для локальных INT4-экспериментов, но не для прод-нагрузки 70B.</t>
  </si>
  <si>
    <t>~3× дешевле FP16; гейт качества (перплексия + оценка на домене) обязателен, fallback - FP16</t>
  </si>
  <si>
    <t>2) Облака (Шаг 2). Месяц 24/7: A100-80 в Cloud.ru ~ 317 ₽/ч с НДС против ~ 472 ₽/ч в Yandex Cloud (g3.1 c vCPU/RAM) - Cloud.ru на треть дешевле; у Yandex - preemptible (в 2,5× дешевле) для dev. T4 дешевле за GPU-час, но для 70B непригоден (п. 4). L4 в публичных прайсах обоих облаков нет (аналог в Yandex - T4i 24 ГБ).</t>
  </si>
  <si>
    <t>3) Оптимизация (Шаг 3). 1000 RPM ~ 8 333 выходных ток/с. Без батчинга - сотни GPU (иллюстративно, ~230 млн ₽/мес); статический батчинг-16: ~54×A100 ~ 18,6 млн ₽/мес; vLLM (continuous batching + PagedAttention + FlashAttention): FP16 - 16×A100-80 ~ 5,5 млн ₽/мес, INT8 - 8×A100-80 ~ 2,8 млн, INT4 (AWQ) - 5×A100-80 ~ 1,7 млн ₽/мес. Экономия INT4 против статического батчинга ~ 91%, против FP16+vLLM ~ 69%.</t>
  </si>
  <si>
    <t>5) Рекомендация. Прод: Llama-3-70B AWQ INT4 + vLLM на 5×A100-80 (4 реплики + 1 резерв) в Cloud.ru (~1,2 млн ₽/мес) или Yandex (~1,7 млн ₽/мес); Kubernetes + автоскейл по ток/с, LiteLLM-прокси с лимитами и ротацией ключей, нагрузочный тест на 2× пика (2000 RPM). Fallback - FP16/INT8 при непрохождении гейта качества. Dev - preemptible A100 в Yandex. «2×A100» отвечает «влезет ли», «5×A100» - «выдержит ли 1000 RPM».</t>
  </si>
  <si>
    <t>Все числа - живые ссылки на листы «Оптимизация» и «Облака»: при смене допущений (желтые ячейки листа «Вводные») книга пересчитается целиком.</t>
  </si>
  <si>
    <t>1) VRAM (Шаг 1). FP16: 70 млрд × 2 байт = 140 ГБ весов + KV-кэш и оверхед -&gt; минимум «влезания» 2×A100-80 (пример лектора ~160 ГБ), по правилу 20% - 3. INT4: 70 млрд × 0,5 байт = 35 ГБ -&gt; 1×A100-80 с запасом. Квантование снижает память в 4 раза и переводит модель с двух дорогих карт на одну; int4 - экспериментальный формат: в прод - только через AWQ и гейт качества.</t>
  </si>
  <si>
    <t>официальный тарифный PDF; пересчет с НДС 22%</t>
  </si>
  <si>
    <t>Llama-3-70B config.json (80 слоев, 64 головы, 8 KV-голов, hidden 8192 -&gt; head_dim 128)</t>
  </si>
  <si>
    <t>Cloud.ru, тариф «Виртуальный ЦОД с GPU» (VMware, прил. №7.VMW.1.3, вер. 260619): 1×T4 - 50 500 ₽/мес без НДС</t>
  </si>
  <si>
    <t>оригинал vllm.ai сейчас недоступен - архивная копия; замеры на LLaMA-7B/13B</t>
  </si>
  <si>
    <t>Цены сверены по первоисточникам 25.09.2026: Yandex - официальная документация; Cloud.ru - юридические тарифные PDF со страницы «Тарифы».</t>
  </si>
  <si>
    <t>линейка A100-80 / V100 / T4 / T4i; Gen2/V4</t>
  </si>
  <si>
    <t>Калькуляторы VRAM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</si>
</sst>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&quot; ГБ&quot;"/>
    <numFmt numFmtId="166" formatCode="#,##0.00&quot; ₽&quot;"/>
    <numFmt numFmtId="167" formatCode="#,##0&quot; ₽&quot;"/>
  </numFmts>
  <fonts count="8" x14ac:knownFonts="1">
    <font>
      <sz val="11"/>
      <color theme="1"/>
      <name val="Calibri"/>
      <family val="2"/>
      <charset val="1"/>
    </font>
    <font>
      <sz val="12"/>
      <color rgb="FF1B2A4A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37352F"/>
      <name val="Calibri"/>
      <family val="2"/>
      <scheme val="minor"/>
    </font>
    <font>
      <sz val="12"/>
      <color rgb="FF8C8A84"/>
      <name val="Calibri"/>
      <family val="2"/>
      <scheme val="minor"/>
    </font>
    <font>
      <b/>
      <sz val="12"/>
      <color rgb="FF1B2A4A"/>
      <name val="Calibri"/>
      <family val="2"/>
      <scheme val="minor"/>
    </font>
    <font>
      <b/>
      <sz val="14"/>
      <color rgb="FF1B2A4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EF9E7"/>
      </patternFill>
    </fill>
    <fill>
      <patternFill patternType="solid">
        <fgColor rgb="FFFEF9E7"/>
        <bgColor rgb="FFF7F7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164" fontId="4" fillId="3" borderId="0" xfId="0" applyNumberFormat="1" applyFont="1" applyFill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right" vertical="center" wrapText="1"/>
    </xf>
    <xf numFmtId="3" fontId="4" fillId="5" borderId="0" xfId="0" applyNumberFormat="1" applyFont="1" applyFill="1" applyAlignment="1">
      <alignment horizontal="right" vertical="center" wrapText="1"/>
    </xf>
    <xf numFmtId="3" fontId="4" fillId="3" borderId="0" xfId="0" applyNumberFormat="1" applyFont="1" applyFill="1" applyAlignment="1">
      <alignment horizontal="right" vertical="center" wrapText="1"/>
    </xf>
    <xf numFmtId="3" fontId="4" fillId="4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6" fontId="4" fillId="3" borderId="0" xfId="0" applyNumberFormat="1" applyFont="1" applyFill="1" applyAlignment="1">
      <alignment horizontal="right" vertical="center" wrapText="1"/>
    </xf>
    <xf numFmtId="166" fontId="4" fillId="4" borderId="0" xfId="0" applyNumberFormat="1" applyFont="1" applyFill="1" applyAlignment="1">
      <alignment horizontal="right" vertical="center" wrapText="1"/>
    </xf>
    <xf numFmtId="0" fontId="4" fillId="4" borderId="0" xfId="0" applyFont="1" applyFill="1" applyAlignment="1">
      <alignment horizontal="right" vertical="center" wrapText="1"/>
    </xf>
    <xf numFmtId="2" fontId="4" fillId="3" borderId="0" xfId="0" applyNumberFormat="1" applyFont="1" applyFill="1" applyAlignment="1">
      <alignment horizontal="right" vertical="center" wrapText="1"/>
    </xf>
    <xf numFmtId="167" fontId="4" fillId="4" borderId="0" xfId="0" applyNumberFormat="1" applyFont="1" applyFill="1" applyAlignment="1">
      <alignment horizontal="right" vertical="center" wrapText="1"/>
    </xf>
    <xf numFmtId="167" fontId="4" fillId="3" borderId="0" xfId="0" applyNumberFormat="1" applyFont="1" applyFill="1" applyAlignment="1">
      <alignment horizontal="right" vertical="center" wrapText="1"/>
    </xf>
    <xf numFmtId="0" fontId="4" fillId="4" borderId="0" xfId="0" quotePrefix="1" applyFont="1" applyFill="1" applyAlignment="1">
      <alignment horizontal="left" vertical="center" wrapText="1"/>
    </xf>
    <xf numFmtId="9" fontId="4" fillId="3" borderId="0" xfId="0" applyNumberFormat="1" applyFont="1" applyFill="1" applyAlignment="1">
      <alignment horizontal="right" vertical="center" wrapText="1"/>
    </xf>
    <xf numFmtId="9" fontId="4" fillId="4" borderId="0" xfId="0" applyNumberFormat="1" applyFont="1" applyFill="1" applyAlignment="1">
      <alignment horizontal="right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indent="2"/>
    </xf>
    <xf numFmtId="0" fontId="3" fillId="2" borderId="1" xfId="0" applyFont="1" applyFill="1" applyBorder="1" applyAlignment="1">
      <alignment horizontal="right" vertical="center" wrapText="1" indent="2"/>
    </xf>
    <xf numFmtId="167" fontId="4" fillId="3" borderId="0" xfId="0" applyNumberFormat="1" applyFont="1" applyFill="1" applyAlignment="1">
      <alignment horizontal="right" vertical="center" wrapText="1" indent="2"/>
    </xf>
    <xf numFmtId="167" fontId="4" fillId="4" borderId="0" xfId="0" applyNumberFormat="1" applyFont="1" applyFill="1" applyAlignment="1">
      <alignment horizontal="right" vertical="center" wrapText="1" indent="2"/>
    </xf>
    <xf numFmtId="0" fontId="4" fillId="3" borderId="0" xfId="0" applyFont="1" applyFill="1" applyAlignment="1">
      <alignment horizontal="right" vertical="center" wrapText="1" indent="1"/>
    </xf>
    <xf numFmtId="0" fontId="4" fillId="4" borderId="0" xfId="0" applyFont="1" applyFill="1" applyAlignment="1">
      <alignment horizontal="right" vertical="center" wrapText="1" indent="1"/>
    </xf>
    <xf numFmtId="3" fontId="4" fillId="5" borderId="0" xfId="0" applyNumberFormat="1" applyFont="1" applyFill="1" applyAlignment="1">
      <alignment horizontal="right" vertical="center" wrapText="1" indent="1"/>
    </xf>
    <xf numFmtId="164" fontId="4" fillId="5" borderId="0" xfId="0" applyNumberFormat="1" applyFont="1" applyFill="1" applyAlignment="1">
      <alignment horizontal="right" vertical="center" wrapText="1" indent="1"/>
    </xf>
    <xf numFmtId="4" fontId="4" fillId="4" borderId="0" xfId="0" applyNumberFormat="1" applyFont="1" applyFill="1" applyAlignment="1">
      <alignment horizontal="right" vertical="center" wrapText="1" indent="1"/>
    </xf>
    <xf numFmtId="164" fontId="4" fillId="4" borderId="0" xfId="0" applyNumberFormat="1" applyFont="1" applyFill="1" applyAlignment="1">
      <alignment horizontal="right" vertical="center" wrapText="1" indent="1"/>
    </xf>
    <xf numFmtId="9" fontId="4" fillId="5" borderId="0" xfId="0" applyNumberFormat="1" applyFont="1" applyFill="1" applyAlignment="1">
      <alignment horizontal="right" vertical="center" wrapText="1" indent="1"/>
    </xf>
    <xf numFmtId="3" fontId="4" fillId="3" borderId="0" xfId="0" applyNumberFormat="1" applyFont="1" applyFill="1" applyAlignment="1">
      <alignment horizontal="right" vertical="center" wrapText="1" indent="1"/>
    </xf>
    <xf numFmtId="3" fontId="4" fillId="4" borderId="0" xfId="0" applyNumberFormat="1" applyFont="1" applyFill="1" applyAlignment="1">
      <alignment horizontal="right" vertical="center" wrapText="1" indent="1"/>
    </xf>
    <xf numFmtId="164" fontId="4" fillId="3" borderId="0" xfId="0" applyNumberFormat="1" applyFont="1" applyFill="1" applyAlignment="1">
      <alignment horizontal="right" vertical="center" wrapText="1" indent="1"/>
    </xf>
    <xf numFmtId="165" fontId="4" fillId="4" borderId="0" xfId="0" applyNumberFormat="1" applyFont="1" applyFill="1" applyAlignment="1">
      <alignment horizontal="right" vertical="center" wrapText="1" indent="1"/>
    </xf>
    <xf numFmtId="4" fontId="4" fillId="3" borderId="0" xfId="0" applyNumberFormat="1" applyFont="1" applyFill="1" applyAlignment="1">
      <alignment horizontal="right" vertical="center" wrapText="1" indent="1"/>
    </xf>
    <xf numFmtId="165" fontId="4" fillId="3" borderId="0" xfId="0" applyNumberFormat="1" applyFont="1" applyFill="1" applyAlignment="1">
      <alignment horizontal="right" vertical="center" wrapText="1" indent="1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4" fillId="3" borderId="0" xfId="0" applyFont="1" applyFill="1" applyAlignment="1">
      <alignment horizontal="left" vertical="center" wrapText="1"/>
    </xf>
    <xf numFmtId="0" fontId="6" fillId="0" borderId="2" xfId="0" applyFont="1" applyBorder="1"/>
    <xf numFmtId="0" fontId="1" fillId="0" borderId="0" xfId="0" applyFont="1"/>
    <xf numFmtId="0" fontId="4" fillId="4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EF9E7"/>
      <rgbColor rgb="FFE9E9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32"/>
  <sheetViews>
    <sheetView showGridLines="0" topLeftCell="A4" zoomScale="120" zoomScaleNormal="120" workbookViewId="0">
      <selection activeCell="H15" sqref="H15"/>
    </sheetView>
  </sheetViews>
  <sheetFormatPr baseColWidth="10" defaultColWidth="8.6640625" defaultRowHeight="16" x14ac:dyDescent="0.2"/>
  <cols>
    <col min="1" max="1" width="3" style="1" customWidth="1"/>
    <col min="2" max="2" width="46" style="1" customWidth="1"/>
    <col min="3" max="3" width="26" style="1" customWidth="1"/>
    <col min="4" max="4" width="9" style="1" customWidth="1"/>
    <col min="5" max="5" width="46" style="1" customWidth="1"/>
    <col min="6" max="16384" width="8.6640625" style="1"/>
  </cols>
  <sheetData>
    <row r="1" spans="2:5" ht="15" customHeight="1" x14ac:dyDescent="0.2"/>
    <row r="2" spans="2:5" ht="31.5" customHeight="1" x14ac:dyDescent="0.2">
      <c r="B2" s="41" t="s">
        <v>208</v>
      </c>
      <c r="C2" s="41"/>
      <c r="D2" s="41"/>
      <c r="E2" s="41"/>
    </row>
    <row r="3" spans="2:5" ht="7.5" customHeight="1" x14ac:dyDescent="0.2"/>
    <row r="4" spans="2:5" ht="27.75" customHeight="1" x14ac:dyDescent="0.2">
      <c r="B4" s="2" t="s">
        <v>0</v>
      </c>
      <c r="C4" s="2" t="s">
        <v>1</v>
      </c>
      <c r="D4" s="2" t="s">
        <v>2</v>
      </c>
      <c r="E4" s="2" t="s">
        <v>141</v>
      </c>
    </row>
    <row r="5" spans="2:5" ht="37.5" customHeight="1" x14ac:dyDescent="0.2">
      <c r="B5" s="3" t="s">
        <v>3</v>
      </c>
      <c r="C5" s="6" t="s">
        <v>4</v>
      </c>
      <c r="D5" s="3" t="s">
        <v>209</v>
      </c>
      <c r="E5" s="3" t="s">
        <v>206</v>
      </c>
    </row>
    <row r="6" spans="2:5" ht="37.5" customHeight="1" x14ac:dyDescent="0.2">
      <c r="B6" s="5" t="s">
        <v>5</v>
      </c>
      <c r="C6" s="30">
        <v>70</v>
      </c>
      <c r="D6" s="5" t="s">
        <v>6</v>
      </c>
      <c r="E6" s="5" t="s">
        <v>232</v>
      </c>
    </row>
    <row r="7" spans="2:5" ht="21.75" customHeight="1" x14ac:dyDescent="0.2">
      <c r="B7" s="3" t="s">
        <v>210</v>
      </c>
      <c r="C7" s="30">
        <v>2</v>
      </c>
      <c r="D7" s="3" t="s">
        <v>7</v>
      </c>
      <c r="E7" s="3" t="s">
        <v>204</v>
      </c>
    </row>
    <row r="8" spans="2:5" ht="21.75" customHeight="1" x14ac:dyDescent="0.2">
      <c r="B8" s="5" t="s">
        <v>211</v>
      </c>
      <c r="C8" s="30">
        <v>1</v>
      </c>
      <c r="D8" s="5" t="s">
        <v>7</v>
      </c>
      <c r="E8" s="5" t="s">
        <v>205</v>
      </c>
    </row>
    <row r="9" spans="2:5" ht="37.5" customHeight="1" x14ac:dyDescent="0.2">
      <c r="B9" s="3" t="s">
        <v>212</v>
      </c>
      <c r="C9" s="31">
        <v>0.5</v>
      </c>
      <c r="D9" s="3" t="s">
        <v>7</v>
      </c>
      <c r="E9" s="3" t="s">
        <v>213</v>
      </c>
    </row>
    <row r="10" spans="2:5" ht="21.75" customHeight="1" x14ac:dyDescent="0.2">
      <c r="B10" s="5" t="s">
        <v>233</v>
      </c>
      <c r="C10" s="30">
        <v>80</v>
      </c>
      <c r="D10" s="5" t="s">
        <v>8</v>
      </c>
      <c r="E10" s="5" t="s">
        <v>9</v>
      </c>
    </row>
    <row r="11" spans="2:5" ht="21.75" customHeight="1" x14ac:dyDescent="0.2">
      <c r="B11" s="3" t="s">
        <v>10</v>
      </c>
      <c r="C11" s="30">
        <v>8</v>
      </c>
      <c r="D11" s="3" t="s">
        <v>8</v>
      </c>
      <c r="E11" s="3" t="s">
        <v>9</v>
      </c>
    </row>
    <row r="12" spans="2:5" ht="21.75" customHeight="1" x14ac:dyDescent="0.2">
      <c r="B12" s="5" t="s">
        <v>11</v>
      </c>
      <c r="C12" s="30">
        <v>128</v>
      </c>
      <c r="D12" s="5" t="s">
        <v>209</v>
      </c>
      <c r="E12" s="5" t="s">
        <v>12</v>
      </c>
    </row>
    <row r="13" spans="2:5" ht="37.5" customHeight="1" x14ac:dyDescent="0.2">
      <c r="B13" s="3" t="s">
        <v>13</v>
      </c>
      <c r="C13" s="30">
        <v>2</v>
      </c>
      <c r="D13" s="3" t="s">
        <v>7</v>
      </c>
      <c r="E13" s="3" t="s">
        <v>14</v>
      </c>
    </row>
    <row r="14" spans="2:5" ht="37.5" customHeight="1" x14ac:dyDescent="0.2">
      <c r="B14" s="5" t="s">
        <v>15</v>
      </c>
      <c r="C14" s="32">
        <f>2*C10*C11*C12*C13/10^6</f>
        <v>0.32768000000000003</v>
      </c>
      <c r="D14" s="5" t="s">
        <v>16</v>
      </c>
      <c r="E14" s="5" t="s">
        <v>17</v>
      </c>
    </row>
    <row r="15" spans="2:5" ht="21.75" customHeight="1" x14ac:dyDescent="0.2">
      <c r="B15" s="3" t="s">
        <v>18</v>
      </c>
      <c r="C15" s="30">
        <v>1000</v>
      </c>
      <c r="D15" s="3" t="s">
        <v>19</v>
      </c>
      <c r="E15" s="3" t="s">
        <v>206</v>
      </c>
    </row>
    <row r="16" spans="2:5" ht="21.75" customHeight="1" x14ac:dyDescent="0.2">
      <c r="B16" s="5" t="s">
        <v>18</v>
      </c>
      <c r="C16" s="33">
        <f>C15/60</f>
        <v>16.666666666666668</v>
      </c>
      <c r="D16" s="5" t="s">
        <v>20</v>
      </c>
      <c r="E16" s="5" t="s">
        <v>216</v>
      </c>
    </row>
    <row r="17" spans="2:5" ht="21.75" customHeight="1" x14ac:dyDescent="0.2">
      <c r="B17" s="3" t="s">
        <v>214</v>
      </c>
      <c r="C17" s="30">
        <v>500</v>
      </c>
      <c r="D17" s="3" t="s">
        <v>21</v>
      </c>
      <c r="E17" s="3" t="s">
        <v>22</v>
      </c>
    </row>
    <row r="18" spans="2:5" ht="21.75" customHeight="1" x14ac:dyDescent="0.2">
      <c r="B18" s="5" t="s">
        <v>215</v>
      </c>
      <c r="C18" s="30">
        <v>500</v>
      </c>
      <c r="D18" s="5" t="s">
        <v>21</v>
      </c>
      <c r="E18" s="5" t="s">
        <v>23</v>
      </c>
    </row>
    <row r="19" spans="2:5" ht="21.75" customHeight="1" x14ac:dyDescent="0.2">
      <c r="B19" s="3" t="s">
        <v>24</v>
      </c>
      <c r="C19" s="30">
        <v>4096</v>
      </c>
      <c r="D19" s="3" t="s">
        <v>21</v>
      </c>
      <c r="E19" s="3" t="s">
        <v>25</v>
      </c>
    </row>
    <row r="20" spans="2:5" ht="21.75" customHeight="1" x14ac:dyDescent="0.2">
      <c r="B20" s="5" t="s">
        <v>26</v>
      </c>
      <c r="C20" s="34">
        <v>0.2</v>
      </c>
      <c r="D20" s="5" t="s">
        <v>27</v>
      </c>
      <c r="E20" s="5" t="s">
        <v>217</v>
      </c>
    </row>
    <row r="21" spans="2:5" ht="21.75" customHeight="1" x14ac:dyDescent="0.2">
      <c r="B21" s="3" t="s">
        <v>28</v>
      </c>
      <c r="C21" s="31">
        <v>1.5</v>
      </c>
      <c r="D21" s="3" t="s">
        <v>29</v>
      </c>
      <c r="E21" s="3" t="s">
        <v>207</v>
      </c>
    </row>
    <row r="22" spans="2:5" ht="21.75" customHeight="1" x14ac:dyDescent="0.2">
      <c r="B22" s="5" t="s">
        <v>30</v>
      </c>
      <c r="C22" s="30">
        <v>730</v>
      </c>
      <c r="D22" s="5" t="s">
        <v>31</v>
      </c>
      <c r="E22" s="5" t="s">
        <v>32</v>
      </c>
    </row>
    <row r="23" spans="2:5" ht="37.5" customHeight="1" x14ac:dyDescent="0.2">
      <c r="B23" s="3" t="s">
        <v>33</v>
      </c>
      <c r="C23" s="35">
        <f>C17+C18/2</f>
        <v>750</v>
      </c>
      <c r="D23" s="3" t="s">
        <v>21</v>
      </c>
      <c r="E23" s="3" t="s">
        <v>234</v>
      </c>
    </row>
    <row r="24" spans="2:5" ht="21.75" customHeight="1" x14ac:dyDescent="0.2">
      <c r="B24" s="5" t="s">
        <v>34</v>
      </c>
      <c r="C24" s="32">
        <f>C14*C23/1000</f>
        <v>0.24576000000000001</v>
      </c>
      <c r="D24" s="5" t="s">
        <v>29</v>
      </c>
      <c r="E24" s="5" t="s">
        <v>218</v>
      </c>
    </row>
    <row r="25" spans="2:5" ht="21.75" customHeight="1" x14ac:dyDescent="0.2">
      <c r="B25" s="3" t="s">
        <v>35</v>
      </c>
      <c r="C25" s="30">
        <v>25</v>
      </c>
      <c r="D25" s="3" t="s">
        <v>36</v>
      </c>
      <c r="E25" s="3" t="s">
        <v>37</v>
      </c>
    </row>
    <row r="26" spans="2:5" ht="21.75" customHeight="1" x14ac:dyDescent="0.2">
      <c r="B26" s="5" t="s">
        <v>38</v>
      </c>
      <c r="C26" s="33">
        <f>C18/C25</f>
        <v>20</v>
      </c>
      <c r="D26" s="5" t="s">
        <v>39</v>
      </c>
      <c r="E26" s="5" t="s">
        <v>219</v>
      </c>
    </row>
    <row r="27" spans="2:5" ht="21.75" customHeight="1" x14ac:dyDescent="0.2">
      <c r="B27" s="3" t="s">
        <v>40</v>
      </c>
      <c r="C27" s="35">
        <f>ROUNDUP(C16*C26,0)</f>
        <v>334</v>
      </c>
      <c r="D27" s="3" t="s">
        <v>41</v>
      </c>
      <c r="E27" s="3" t="s">
        <v>220</v>
      </c>
    </row>
    <row r="28" spans="2:5" ht="21.75" customHeight="1" x14ac:dyDescent="0.2">
      <c r="B28" s="5" t="s">
        <v>42</v>
      </c>
      <c r="C28" s="36">
        <f>C15*C18/60</f>
        <v>8333.3333333333339</v>
      </c>
      <c r="D28" s="5" t="s">
        <v>36</v>
      </c>
      <c r="E28" s="5" t="s">
        <v>221</v>
      </c>
    </row>
    <row r="29" spans="2:5" ht="37.5" customHeight="1" x14ac:dyDescent="0.2">
      <c r="B29" s="3" t="s">
        <v>43</v>
      </c>
      <c r="C29" s="34">
        <v>0.7</v>
      </c>
      <c r="D29" s="3" t="s">
        <v>27</v>
      </c>
      <c r="E29" s="3" t="s">
        <v>44</v>
      </c>
    </row>
    <row r="30" spans="2:5" ht="21.75" customHeight="1" x14ac:dyDescent="0.2"/>
    <row r="31" spans="2:5" ht="39" customHeight="1" x14ac:dyDescent="0.2">
      <c r="B31" s="42" t="s">
        <v>235</v>
      </c>
      <c r="C31" s="42"/>
      <c r="D31" s="42"/>
      <c r="E31" s="42"/>
    </row>
    <row r="32" spans="2:5" ht="27" customHeight="1" x14ac:dyDescent="0.2">
      <c r="B32" s="42" t="s">
        <v>222</v>
      </c>
      <c r="C32" s="42"/>
      <c r="D32" s="42"/>
      <c r="E32" s="42"/>
    </row>
  </sheetData>
  <mergeCells count="3">
    <mergeCell ref="B2:E2"/>
    <mergeCell ref="B31:E31"/>
    <mergeCell ref="B32:E3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F17"/>
  <sheetViews>
    <sheetView showGridLines="0" zoomScale="120" zoomScaleNormal="120" workbookViewId="0">
      <selection activeCell="D19" sqref="D19"/>
    </sheetView>
  </sheetViews>
  <sheetFormatPr baseColWidth="10" defaultColWidth="8.6640625" defaultRowHeight="16" x14ac:dyDescent="0.2"/>
  <cols>
    <col min="1" max="1" width="3" style="1" customWidth="1"/>
    <col min="2" max="2" width="52.5" style="1" customWidth="1"/>
    <col min="3" max="3" width="11.6640625" style="10" customWidth="1"/>
    <col min="4" max="4" width="12" style="10" customWidth="1"/>
    <col min="5" max="5" width="12.1640625" style="10" customWidth="1"/>
    <col min="6" max="6" width="52.83203125" style="1" customWidth="1"/>
    <col min="7" max="16384" width="8.6640625" style="1"/>
  </cols>
  <sheetData>
    <row r="1" spans="2:6" ht="15" customHeight="1" x14ac:dyDescent="0.2"/>
    <row r="2" spans="2:6" ht="31.5" customHeight="1" x14ac:dyDescent="0.2">
      <c r="B2" s="41" t="s">
        <v>226</v>
      </c>
      <c r="C2" s="41"/>
      <c r="D2" s="41"/>
      <c r="E2" s="41"/>
      <c r="F2" s="41"/>
    </row>
    <row r="3" spans="2:6" ht="7.5" customHeight="1" x14ac:dyDescent="0.2"/>
    <row r="4" spans="2:6" ht="27.75" customHeight="1" x14ac:dyDescent="0.2"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</row>
    <row r="5" spans="2:6" ht="17" x14ac:dyDescent="0.2">
      <c r="B5" s="3" t="s">
        <v>50</v>
      </c>
      <c r="C5" s="37">
        <f>Вводные!C7</f>
        <v>2</v>
      </c>
      <c r="D5" s="37">
        <f>Вводные!C8</f>
        <v>1</v>
      </c>
      <c r="E5" s="37">
        <f>Вводные!C9</f>
        <v>0.5</v>
      </c>
      <c r="F5" s="3" t="s">
        <v>51</v>
      </c>
    </row>
    <row r="6" spans="2:6" ht="34" x14ac:dyDescent="0.2">
      <c r="B6" s="5" t="s">
        <v>52</v>
      </c>
      <c r="C6" s="38">
        <f>Вводные!$C$6*C5</f>
        <v>140</v>
      </c>
      <c r="D6" s="38">
        <f>Вводные!$C$6*D5</f>
        <v>70</v>
      </c>
      <c r="E6" s="38">
        <f>Вводные!$C$6*E5</f>
        <v>35</v>
      </c>
      <c r="F6" s="5" t="s">
        <v>53</v>
      </c>
    </row>
    <row r="7" spans="2:6" ht="17" x14ac:dyDescent="0.2">
      <c r="B7" s="3" t="s">
        <v>54</v>
      </c>
      <c r="C7" s="39">
        <f>Вводные!$C$14</f>
        <v>0.32768000000000003</v>
      </c>
      <c r="D7" s="39">
        <f>Вводные!$C$14</f>
        <v>0.32768000000000003</v>
      </c>
      <c r="E7" s="39">
        <f>Вводные!$C$14</f>
        <v>0.32768000000000003</v>
      </c>
      <c r="F7" s="3" t="s">
        <v>227</v>
      </c>
    </row>
    <row r="8" spans="2:6" ht="17" x14ac:dyDescent="0.2">
      <c r="B8" s="5" t="s">
        <v>55</v>
      </c>
      <c r="C8" s="32">
        <f>Вводные!$C$14*Вводные!$C$19/1000</f>
        <v>1.34217728</v>
      </c>
      <c r="D8" s="32">
        <f>Вводные!$C$14*Вводные!$C$19/1000</f>
        <v>1.34217728</v>
      </c>
      <c r="E8" s="32">
        <f>Вводные!$C$14*Вводные!$C$19/1000</f>
        <v>1.34217728</v>
      </c>
      <c r="F8" s="5" t="s">
        <v>223</v>
      </c>
    </row>
    <row r="9" spans="2:6" ht="21.75" customHeight="1" x14ac:dyDescent="0.2">
      <c r="B9" s="3" t="s">
        <v>56</v>
      </c>
      <c r="C9" s="39">
        <f>Вводные!$C$24</f>
        <v>0.24576000000000001</v>
      </c>
      <c r="D9" s="39">
        <f>Вводные!$C$24</f>
        <v>0.24576000000000001</v>
      </c>
      <c r="E9" s="39">
        <f>Вводные!$C$24</f>
        <v>0.24576000000000001</v>
      </c>
      <c r="F9" s="3" t="s">
        <v>224</v>
      </c>
    </row>
    <row r="10" spans="2:6" ht="21.75" customHeight="1" x14ac:dyDescent="0.2">
      <c r="B10" s="5" t="s">
        <v>57</v>
      </c>
      <c r="C10" s="38">
        <f>C6*Вводные!$C$20</f>
        <v>28</v>
      </c>
      <c r="D10" s="38">
        <f>D6*Вводные!$C$20</f>
        <v>14</v>
      </c>
      <c r="E10" s="38">
        <f>E6*Вводные!$C$20</f>
        <v>7</v>
      </c>
      <c r="F10" s="5" t="s">
        <v>236</v>
      </c>
    </row>
    <row r="11" spans="2:6" ht="17" x14ac:dyDescent="0.2">
      <c r="B11" s="3" t="s">
        <v>58</v>
      </c>
      <c r="C11" s="37">
        <f>Вводные!$C$21</f>
        <v>1.5</v>
      </c>
      <c r="D11" s="37">
        <f>Вводные!$C$21</f>
        <v>1.5</v>
      </c>
      <c r="E11" s="37">
        <f>Вводные!$C$21</f>
        <v>1.5</v>
      </c>
      <c r="F11" s="3" t="s">
        <v>59</v>
      </c>
    </row>
    <row r="12" spans="2:6" ht="24" customHeight="1" x14ac:dyDescent="0.2">
      <c r="B12" s="43" t="s">
        <v>228</v>
      </c>
      <c r="C12" s="43"/>
      <c r="D12" s="43"/>
      <c r="E12" s="43"/>
      <c r="F12" s="43"/>
    </row>
    <row r="13" spans="2:6" ht="17" x14ac:dyDescent="0.2">
      <c r="B13" s="3" t="s">
        <v>60</v>
      </c>
      <c r="C13" s="40">
        <f>C6+C11</f>
        <v>141.5</v>
      </c>
      <c r="D13" s="40">
        <f>D6+D11</f>
        <v>71.5</v>
      </c>
      <c r="E13" s="40">
        <f>E6+E11</f>
        <v>36.5</v>
      </c>
      <c r="F13" s="3" t="s">
        <v>229</v>
      </c>
    </row>
    <row r="14" spans="2:6" ht="34" x14ac:dyDescent="0.2">
      <c r="B14" s="5" t="s">
        <v>61</v>
      </c>
      <c r="C14" s="38">
        <f>Вводные!$C$27*C8</f>
        <v>448.28721152000003</v>
      </c>
      <c r="D14" s="38">
        <f>Вводные!$C$27*D8</f>
        <v>448.28721152000003</v>
      </c>
      <c r="E14" s="38">
        <f>Вводные!$C$27*E8</f>
        <v>448.28721152000003</v>
      </c>
      <c r="F14" s="5" t="s">
        <v>225</v>
      </c>
    </row>
    <row r="15" spans="2:6" ht="21.75" customHeight="1" x14ac:dyDescent="0.2"/>
    <row r="16" spans="2:6" ht="29" customHeight="1" x14ac:dyDescent="0.2">
      <c r="B16" s="42" t="s">
        <v>230</v>
      </c>
      <c r="C16" s="42"/>
      <c r="D16" s="42"/>
      <c r="E16" s="42"/>
      <c r="F16" s="42"/>
    </row>
    <row r="17" spans="2:6" ht="21" customHeight="1" x14ac:dyDescent="0.2">
      <c r="B17" s="42" t="s">
        <v>231</v>
      </c>
      <c r="C17" s="42"/>
      <c r="D17" s="42"/>
      <c r="E17" s="42"/>
      <c r="F17" s="42"/>
    </row>
  </sheetData>
  <mergeCells count="4">
    <mergeCell ref="B2:F2"/>
    <mergeCell ref="B12:F12"/>
    <mergeCell ref="B16:F16"/>
    <mergeCell ref="B17:F17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F35"/>
  <sheetViews>
    <sheetView showGridLines="0" topLeftCell="A2" zoomScale="120" zoomScaleNormal="120" workbookViewId="0">
      <selection activeCell="H17" sqref="H17"/>
    </sheetView>
  </sheetViews>
  <sheetFormatPr baseColWidth="10" defaultColWidth="8.6640625" defaultRowHeight="16" x14ac:dyDescent="0.2"/>
  <cols>
    <col min="1" max="1" width="3" style="1" customWidth="1"/>
    <col min="2" max="2" width="52.33203125" style="1" customWidth="1"/>
    <col min="3" max="3" width="13.6640625" style="1" customWidth="1"/>
    <col min="4" max="4" width="17.5" style="1" customWidth="1"/>
    <col min="5" max="5" width="26" style="1" customWidth="1"/>
    <col min="6" max="6" width="18.5" style="1" customWidth="1"/>
    <col min="7" max="16384" width="8.6640625" style="1"/>
  </cols>
  <sheetData>
    <row r="1" spans="2:6" ht="15" customHeight="1" x14ac:dyDescent="0.2"/>
    <row r="2" spans="2:6" ht="31.5" customHeight="1" x14ac:dyDescent="0.2">
      <c r="B2" s="41" t="s">
        <v>62</v>
      </c>
      <c r="C2" s="41"/>
      <c r="D2" s="41"/>
      <c r="E2" s="41"/>
      <c r="F2" s="41"/>
    </row>
    <row r="3" spans="2:6" ht="7.5" customHeight="1" x14ac:dyDescent="0.2"/>
    <row r="4" spans="2:6" ht="27.75" customHeight="1" x14ac:dyDescent="0.2">
      <c r="B4" s="2" t="s">
        <v>63</v>
      </c>
      <c r="C4" s="2" t="s">
        <v>64</v>
      </c>
      <c r="D4" s="2" t="s">
        <v>65</v>
      </c>
      <c r="E4" s="2" t="s">
        <v>237</v>
      </c>
      <c r="F4" s="2" t="s">
        <v>66</v>
      </c>
    </row>
    <row r="5" spans="2:6" ht="21.75" customHeight="1" x14ac:dyDescent="0.2">
      <c r="B5" s="3" t="s">
        <v>67</v>
      </c>
      <c r="C5" s="8">
        <v>80</v>
      </c>
      <c r="D5" s="8">
        <v>40</v>
      </c>
      <c r="E5" s="8">
        <v>24</v>
      </c>
      <c r="F5" s="8">
        <v>16</v>
      </c>
    </row>
    <row r="6" spans="2:6" ht="21.75" customHeight="1" x14ac:dyDescent="0.2">
      <c r="B6" s="5" t="s">
        <v>68</v>
      </c>
      <c r="C6" s="9">
        <v>2039</v>
      </c>
      <c r="D6" s="9">
        <v>1555</v>
      </c>
      <c r="E6" s="9">
        <v>300</v>
      </c>
      <c r="F6" s="9">
        <v>320</v>
      </c>
    </row>
    <row r="7" spans="2:6" ht="21.75" customHeight="1" x14ac:dyDescent="0.2">
      <c r="B7" s="3" t="s">
        <v>69</v>
      </c>
      <c r="C7" s="11" t="s">
        <v>70</v>
      </c>
      <c r="D7" s="11" t="s">
        <v>70</v>
      </c>
      <c r="E7" s="11" t="s">
        <v>70</v>
      </c>
      <c r="F7" s="11" t="s">
        <v>71</v>
      </c>
    </row>
    <row r="8" spans="2:6" ht="21.75" customHeight="1" x14ac:dyDescent="0.2">
      <c r="B8" s="5" t="s">
        <v>72</v>
      </c>
      <c r="C8" s="12" t="s">
        <v>70</v>
      </c>
      <c r="D8" s="12" t="s">
        <v>70</v>
      </c>
      <c r="E8" s="12" t="s">
        <v>73</v>
      </c>
      <c r="F8" s="12" t="s">
        <v>74</v>
      </c>
    </row>
    <row r="9" spans="2:6" ht="21.75" customHeight="1" x14ac:dyDescent="0.2">
      <c r="B9" s="3" t="s">
        <v>75</v>
      </c>
      <c r="C9" s="11" t="s">
        <v>70</v>
      </c>
      <c r="D9" s="11" t="s">
        <v>70</v>
      </c>
      <c r="E9" s="11" t="s">
        <v>74</v>
      </c>
      <c r="F9" s="11" t="s">
        <v>74</v>
      </c>
    </row>
    <row r="10" spans="2:6" ht="24" customHeight="1" x14ac:dyDescent="0.2">
      <c r="B10" s="45" t="s">
        <v>242</v>
      </c>
      <c r="C10" s="45"/>
      <c r="D10" s="45"/>
      <c r="E10" s="45"/>
      <c r="F10" s="45"/>
    </row>
    <row r="11" spans="2:6" ht="37.5" customHeight="1" x14ac:dyDescent="0.2">
      <c r="B11" s="3" t="s">
        <v>76</v>
      </c>
      <c r="C11" s="8">
        <f>CEILING(VRAM!$C$6/(C5-Вводные!$C$21),1)</f>
        <v>2</v>
      </c>
      <c r="D11" s="8">
        <f>CEILING(VRAM!$C$6/(D5-Вводные!$C$21),1)</f>
        <v>4</v>
      </c>
      <c r="E11" s="8">
        <f>CEILING(VRAM!$C$6/(E5-Вводные!$C$21),1)</f>
        <v>7</v>
      </c>
      <c r="F11" s="8">
        <f>CEILING(VRAM!$C$6/(F5-Вводные!$C$21),1)</f>
        <v>10</v>
      </c>
    </row>
    <row r="12" spans="2:6" ht="37.5" customHeight="1" x14ac:dyDescent="0.2">
      <c r="B12" s="5" t="s">
        <v>77</v>
      </c>
      <c r="C12" s="9">
        <f>CEILING(VRAM!$C$6*(1+Вводные!$C$20)/(C5-Вводные!$C$21),1)</f>
        <v>3</v>
      </c>
      <c r="D12" s="9">
        <f>CEILING(VRAM!$C$6*(1+Вводные!$C$20)/(D5-Вводные!$C$21),1)</f>
        <v>5</v>
      </c>
      <c r="E12" s="9">
        <f>CEILING(VRAM!$C$6*(1+Вводные!$C$20)/(E5-Вводные!$C$21),1)</f>
        <v>8</v>
      </c>
      <c r="F12" s="9">
        <f>CEILING(VRAM!$C$6*(1+Вводные!$C$20)/(F5-Вводные!$C$21),1)</f>
        <v>12</v>
      </c>
    </row>
    <row r="13" spans="2:6" ht="21.75" customHeight="1" x14ac:dyDescent="0.2">
      <c r="B13" s="3" t="s">
        <v>78</v>
      </c>
      <c r="C13" s="4">
        <f>C5*C11-VRAM!$C$6-Вводные!$C$21*C11</f>
        <v>17</v>
      </c>
      <c r="D13" s="4">
        <f>D5*D11-VRAM!$C$6-Вводные!$C$21*D11</f>
        <v>14</v>
      </c>
      <c r="E13" s="4">
        <f>E5*E11-VRAM!$C$6-Вводные!$C$21*E11</f>
        <v>17.5</v>
      </c>
      <c r="F13" s="4">
        <f>F5*F11-VRAM!$C$6-Вводные!$C$21*F11</f>
        <v>5</v>
      </c>
    </row>
    <row r="14" spans="2:6" ht="21.75" customHeight="1" x14ac:dyDescent="0.2">
      <c r="B14" s="5" t="s">
        <v>79</v>
      </c>
      <c r="C14" s="9">
        <f>ROUNDDOWN(C13/VRAM!$C$8,0)</f>
        <v>12</v>
      </c>
      <c r="D14" s="9">
        <f>ROUNDDOWN(D13/VRAM!$C$8,0)</f>
        <v>10</v>
      </c>
      <c r="E14" s="9">
        <f>ROUNDDOWN(E13/VRAM!$C$8,0)</f>
        <v>13</v>
      </c>
      <c r="F14" s="9">
        <f>ROUNDDOWN(F13/VRAM!$C$8,0)</f>
        <v>3</v>
      </c>
    </row>
    <row r="15" spans="2:6" ht="49" customHeight="1" x14ac:dyDescent="0.2">
      <c r="B15" s="42" t="s">
        <v>243</v>
      </c>
      <c r="C15" s="42"/>
      <c r="D15" s="42"/>
      <c r="E15" s="42"/>
      <c r="F15" s="42"/>
    </row>
    <row r="16" spans="2:6" ht="24" customHeight="1" x14ac:dyDescent="0.2">
      <c r="B16" s="45" t="s">
        <v>244</v>
      </c>
      <c r="C16" s="45"/>
      <c r="D16" s="45"/>
      <c r="E16" s="45"/>
      <c r="F16" s="45"/>
    </row>
    <row r="17" spans="2:6" ht="37.5" customHeight="1" x14ac:dyDescent="0.2">
      <c r="B17" s="3" t="s">
        <v>76</v>
      </c>
      <c r="C17" s="8">
        <f>CEILING(VRAM!$D$6/(C5-Вводные!$C$21),1)</f>
        <v>1</v>
      </c>
      <c r="D17" s="8">
        <f>CEILING(VRAM!$D$6/(D5-Вводные!$C$21),1)</f>
        <v>2</v>
      </c>
      <c r="E17" s="8">
        <f>CEILING(VRAM!$D$6/(E5-Вводные!$C$21),1)</f>
        <v>4</v>
      </c>
      <c r="F17" s="8">
        <f>CEILING(VRAM!$D$6/(F5-Вводные!$C$21),1)</f>
        <v>5</v>
      </c>
    </row>
    <row r="18" spans="2:6" ht="37.5" customHeight="1" x14ac:dyDescent="0.2">
      <c r="B18" s="5" t="s">
        <v>77</v>
      </c>
      <c r="C18" s="9">
        <f>CEILING(VRAM!$D$6*(1+Вводные!$C$20)/(C5-Вводные!$C$21),1)</f>
        <v>2</v>
      </c>
      <c r="D18" s="9">
        <f>CEILING(VRAM!$D$6*(1+Вводные!$C$20)/(D5-Вводные!$C$21),1)</f>
        <v>3</v>
      </c>
      <c r="E18" s="9">
        <f>CEILING(VRAM!$D$6*(1+Вводные!$C$20)/(E5-Вводные!$C$21),1)</f>
        <v>4</v>
      </c>
      <c r="F18" s="9">
        <f>CEILING(VRAM!$D$6*(1+Вводные!$C$20)/(F5-Вводные!$C$21),1)</f>
        <v>6</v>
      </c>
    </row>
    <row r="19" spans="2:6" ht="21.75" customHeight="1" x14ac:dyDescent="0.2">
      <c r="B19" s="3" t="s">
        <v>78</v>
      </c>
      <c r="C19" s="4">
        <f>C5*C17-VRAM!$D$6-Вводные!$C$21*C17</f>
        <v>8.5</v>
      </c>
      <c r="D19" s="4">
        <f>D5*D17-VRAM!$D$6-Вводные!$C$21*D17</f>
        <v>7</v>
      </c>
      <c r="E19" s="4">
        <f>E5*E17-VRAM!$D$6-Вводные!$C$21*E17</f>
        <v>20</v>
      </c>
      <c r="F19" s="4">
        <f>F5*F17-VRAM!$D$6-Вводные!$C$21*F17</f>
        <v>2.5</v>
      </c>
    </row>
    <row r="20" spans="2:6" ht="21.75" customHeight="1" x14ac:dyDescent="0.2">
      <c r="B20" s="5" t="s">
        <v>79</v>
      </c>
      <c r="C20" s="9">
        <f>ROUNDDOWN(C19/VRAM!$D$8,0)</f>
        <v>6</v>
      </c>
      <c r="D20" s="9">
        <f>ROUNDDOWN(D19/VRAM!$D$8,0)</f>
        <v>5</v>
      </c>
      <c r="E20" s="9">
        <f>ROUNDDOWN(E19/VRAM!$D$8,0)</f>
        <v>14</v>
      </c>
      <c r="F20" s="9">
        <f>ROUNDDOWN(F19/VRAM!$D$8,0)</f>
        <v>1</v>
      </c>
    </row>
    <row r="21" spans="2:6" ht="42" customHeight="1" x14ac:dyDescent="0.2">
      <c r="B21" s="42" t="s">
        <v>245</v>
      </c>
      <c r="C21" s="42"/>
      <c r="D21" s="42"/>
      <c r="E21" s="42"/>
      <c r="F21" s="42"/>
    </row>
    <row r="22" spans="2:6" ht="24" customHeight="1" x14ac:dyDescent="0.2">
      <c r="B22" s="45" t="s">
        <v>238</v>
      </c>
      <c r="C22" s="45"/>
      <c r="D22" s="45"/>
      <c r="E22" s="45"/>
      <c r="F22" s="45"/>
    </row>
    <row r="23" spans="2:6" ht="37.5" customHeight="1" x14ac:dyDescent="0.2">
      <c r="B23" s="3" t="s">
        <v>76</v>
      </c>
      <c r="C23" s="8">
        <f>CEILING(VRAM!$E$6/(C5-Вводные!$C$21),1)</f>
        <v>1</v>
      </c>
      <c r="D23" s="8">
        <f>CEILING(VRAM!$E$6/(D5-Вводные!$C$21),1)</f>
        <v>1</v>
      </c>
      <c r="E23" s="8">
        <f>CEILING(VRAM!$E$6/(E5-Вводные!$C$21),1)</f>
        <v>2</v>
      </c>
      <c r="F23" s="8">
        <f>CEILING(VRAM!$E$6/(F5-Вводные!$C$21),1)</f>
        <v>3</v>
      </c>
    </row>
    <row r="24" spans="2:6" ht="37.5" customHeight="1" x14ac:dyDescent="0.2">
      <c r="B24" s="5" t="s">
        <v>77</v>
      </c>
      <c r="C24" s="9">
        <f>CEILING(VRAM!$E$6*(1+Вводные!$C$20)/(C5-Вводные!$C$21),1)</f>
        <v>1</v>
      </c>
      <c r="D24" s="9">
        <f>CEILING(VRAM!$E$6*(1+Вводные!$C$20)/(D5-Вводные!$C$21),1)</f>
        <v>2</v>
      </c>
      <c r="E24" s="9">
        <f>CEILING(VRAM!$E$6*(1+Вводные!$C$20)/(E5-Вводные!$C$21),1)</f>
        <v>2</v>
      </c>
      <c r="F24" s="9">
        <f>CEILING(VRAM!$E$6*(1+Вводные!$C$20)/(F5-Вводные!$C$21),1)</f>
        <v>3</v>
      </c>
    </row>
    <row r="25" spans="2:6" ht="21.75" customHeight="1" x14ac:dyDescent="0.2">
      <c r="B25" s="3" t="s">
        <v>78</v>
      </c>
      <c r="C25" s="4">
        <f>C5*C23-VRAM!$E$6-Вводные!$C$21*C23</f>
        <v>43.5</v>
      </c>
      <c r="D25" s="4">
        <f>D5*D23-VRAM!$E$6-Вводные!$C$21*D23</f>
        <v>3.5</v>
      </c>
      <c r="E25" s="4">
        <f>E5*E23-VRAM!$E$6-Вводные!$C$21*E23</f>
        <v>10</v>
      </c>
      <c r="F25" s="4">
        <f>F5*F23-VRAM!$E$6-Вводные!$C$21*F23</f>
        <v>8.5</v>
      </c>
    </row>
    <row r="26" spans="2:6" ht="21.75" customHeight="1" x14ac:dyDescent="0.2">
      <c r="B26" s="5" t="s">
        <v>79</v>
      </c>
      <c r="C26" s="9">
        <f>ROUNDDOWN(C25/VRAM!$E$8,0)</f>
        <v>32</v>
      </c>
      <c r="D26" s="9">
        <f>ROUNDDOWN(D25/VRAM!$E$8,0)</f>
        <v>2</v>
      </c>
      <c r="E26" s="9">
        <f>ROUNDDOWN(E25/VRAM!$E$8,0)</f>
        <v>7</v>
      </c>
      <c r="F26" s="9">
        <f>ROUNDDOWN(F25/VRAM!$E$8,0)</f>
        <v>6</v>
      </c>
    </row>
    <row r="27" spans="2:6" ht="69.75" customHeight="1" x14ac:dyDescent="0.2">
      <c r="B27" s="42" t="s">
        <v>239</v>
      </c>
      <c r="C27" s="42"/>
      <c r="D27" s="42"/>
      <c r="E27" s="42"/>
      <c r="F27" s="42"/>
    </row>
    <row r="28" spans="2:6" ht="21.75" customHeight="1" x14ac:dyDescent="0.2"/>
    <row r="29" spans="2:6" ht="24" customHeight="1" x14ac:dyDescent="0.2">
      <c r="B29" s="46" t="s">
        <v>240</v>
      </c>
      <c r="C29" s="46"/>
      <c r="D29" s="46"/>
      <c r="E29" s="46"/>
      <c r="F29" s="46"/>
    </row>
    <row r="30" spans="2:6" ht="37.5" customHeight="1" x14ac:dyDescent="0.2">
      <c r="B30" s="3" t="s">
        <v>80</v>
      </c>
      <c r="C30" s="44" t="s">
        <v>81</v>
      </c>
      <c r="D30" s="44"/>
      <c r="E30" s="44"/>
      <c r="F30" s="3" t="s">
        <v>82</v>
      </c>
    </row>
    <row r="31" spans="2:6" ht="37.5" customHeight="1" x14ac:dyDescent="0.2">
      <c r="B31" s="5" t="s">
        <v>83</v>
      </c>
      <c r="C31" s="47" t="s">
        <v>84</v>
      </c>
      <c r="D31" s="47"/>
      <c r="E31" s="47"/>
      <c r="F31" s="5" t="s">
        <v>247</v>
      </c>
    </row>
    <row r="32" spans="2:6" ht="52" customHeight="1" x14ac:dyDescent="0.2">
      <c r="B32" s="3" t="s">
        <v>85</v>
      </c>
      <c r="C32" s="44" t="s">
        <v>86</v>
      </c>
      <c r="D32" s="44"/>
      <c r="E32" s="44"/>
      <c r="F32" s="3" t="s">
        <v>87</v>
      </c>
    </row>
    <row r="33" spans="2:6" ht="21.75" customHeight="1" x14ac:dyDescent="0.2"/>
    <row r="34" spans="2:6" ht="56" customHeight="1" x14ac:dyDescent="0.2">
      <c r="B34" s="42" t="s">
        <v>246</v>
      </c>
      <c r="C34" s="42"/>
      <c r="D34" s="42"/>
      <c r="E34" s="42"/>
      <c r="F34" s="42"/>
    </row>
    <row r="35" spans="2:6" ht="21" customHeight="1" x14ac:dyDescent="0.2">
      <c r="B35" s="42" t="s">
        <v>241</v>
      </c>
      <c r="C35" s="42"/>
      <c r="D35" s="42"/>
      <c r="E35" s="42"/>
      <c r="F35" s="42"/>
    </row>
  </sheetData>
  <mergeCells count="13">
    <mergeCell ref="B2:F2"/>
    <mergeCell ref="B10:F10"/>
    <mergeCell ref="B15:F15"/>
    <mergeCell ref="B16:F16"/>
    <mergeCell ref="B21:F21"/>
    <mergeCell ref="C32:E32"/>
    <mergeCell ref="B34:F34"/>
    <mergeCell ref="B35:F35"/>
    <mergeCell ref="B22:F22"/>
    <mergeCell ref="B27:F27"/>
    <mergeCell ref="B29:F29"/>
    <mergeCell ref="C30:E30"/>
    <mergeCell ref="C31:E3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F44"/>
  <sheetViews>
    <sheetView showGridLines="0" zoomScale="120" zoomScaleNormal="120" workbookViewId="0">
      <selection activeCell="H12" sqref="H12"/>
    </sheetView>
  </sheetViews>
  <sheetFormatPr baseColWidth="10" defaultColWidth="8.6640625" defaultRowHeight="16" x14ac:dyDescent="0.2"/>
  <cols>
    <col min="1" max="1" width="3" style="1" customWidth="1"/>
    <col min="2" max="2" width="46" style="1" customWidth="1"/>
    <col min="3" max="3" width="27" style="1" customWidth="1"/>
    <col min="4" max="4" width="24" style="1" customWidth="1"/>
    <col min="5" max="5" width="46" style="1" customWidth="1"/>
    <col min="6" max="6" width="48.83203125" style="1" customWidth="1"/>
    <col min="7" max="16384" width="8.6640625" style="1"/>
  </cols>
  <sheetData>
    <row r="1" spans="2:6" ht="15" customHeight="1" x14ac:dyDescent="0.2"/>
    <row r="2" spans="2:6" ht="31.5" customHeight="1" x14ac:dyDescent="0.2">
      <c r="B2" s="41" t="s">
        <v>249</v>
      </c>
      <c r="C2" s="41"/>
      <c r="D2" s="41"/>
      <c r="E2" s="41"/>
      <c r="F2" s="41"/>
    </row>
    <row r="3" spans="2:6" ht="7.5" customHeight="1" x14ac:dyDescent="0.2"/>
    <row r="4" spans="2:6" ht="27.75" customHeight="1" x14ac:dyDescent="0.2">
      <c r="B4" s="2" t="s">
        <v>88</v>
      </c>
      <c r="C4" s="2" t="s">
        <v>89</v>
      </c>
      <c r="D4" s="2" t="s">
        <v>90</v>
      </c>
      <c r="E4" s="2" t="s">
        <v>91</v>
      </c>
      <c r="F4" s="2" t="s">
        <v>92</v>
      </c>
    </row>
    <row r="5" spans="2:6" ht="21.75" customHeight="1" x14ac:dyDescent="0.2"/>
    <row r="6" spans="2:6" ht="24" customHeight="1" x14ac:dyDescent="0.2">
      <c r="B6" s="45" t="s">
        <v>250</v>
      </c>
      <c r="C6" s="45"/>
      <c r="D6" s="45"/>
      <c r="E6" s="45"/>
      <c r="F6" s="45"/>
    </row>
    <row r="7" spans="2:6" ht="37.5" customHeight="1" x14ac:dyDescent="0.2">
      <c r="B7" s="3" t="s">
        <v>93</v>
      </c>
      <c r="C7" s="13">
        <v>408.12</v>
      </c>
      <c r="D7" s="3" t="s">
        <v>94</v>
      </c>
      <c r="E7" s="3" t="s">
        <v>95</v>
      </c>
      <c r="F7" s="3" t="s">
        <v>251</v>
      </c>
    </row>
    <row r="8" spans="2:6" ht="37.5" customHeight="1" x14ac:dyDescent="0.2">
      <c r="B8" s="5" t="s">
        <v>96</v>
      </c>
      <c r="C8" s="14">
        <v>0.98819999999999997</v>
      </c>
      <c r="D8" s="5" t="s">
        <v>97</v>
      </c>
      <c r="E8" s="5" t="s">
        <v>209</v>
      </c>
      <c r="F8" s="5" t="s">
        <v>251</v>
      </c>
    </row>
    <row r="9" spans="2:6" ht="37.5" customHeight="1" x14ac:dyDescent="0.2">
      <c r="B9" s="3" t="s">
        <v>98</v>
      </c>
      <c r="C9" s="13">
        <v>0.30740000000000001</v>
      </c>
      <c r="D9" s="3" t="s">
        <v>99</v>
      </c>
      <c r="E9" s="3" t="s">
        <v>209</v>
      </c>
      <c r="F9" s="3" t="s">
        <v>251</v>
      </c>
    </row>
    <row r="10" spans="2:6" ht="37.5" customHeight="1" x14ac:dyDescent="0.2">
      <c r="B10" s="5" t="s">
        <v>252</v>
      </c>
      <c r="C10" s="14">
        <v>163.25</v>
      </c>
      <c r="D10" s="5" t="s">
        <v>94</v>
      </c>
      <c r="E10" s="5" t="s">
        <v>100</v>
      </c>
      <c r="F10" s="5" t="s">
        <v>251</v>
      </c>
    </row>
    <row r="11" spans="2:6" ht="37.5" customHeight="1" x14ac:dyDescent="0.2">
      <c r="B11" s="3" t="s">
        <v>101</v>
      </c>
      <c r="C11" s="6" t="s">
        <v>102</v>
      </c>
      <c r="D11" s="3" t="s">
        <v>103</v>
      </c>
      <c r="E11" s="3" t="s">
        <v>209</v>
      </c>
      <c r="F11" s="3" t="s">
        <v>251</v>
      </c>
    </row>
    <row r="12" spans="2:6" ht="37.5" customHeight="1" x14ac:dyDescent="0.2">
      <c r="B12" s="5" t="s">
        <v>104</v>
      </c>
      <c r="C12" s="14">
        <v>70.27</v>
      </c>
      <c r="D12" s="5" t="s">
        <v>94</v>
      </c>
      <c r="E12" s="5" t="s">
        <v>105</v>
      </c>
      <c r="F12" s="5" t="s">
        <v>251</v>
      </c>
    </row>
    <row r="13" spans="2:6" ht="37.5" customHeight="1" x14ac:dyDescent="0.2">
      <c r="B13" s="3" t="s">
        <v>106</v>
      </c>
      <c r="C13" s="13">
        <v>158.11000000000001</v>
      </c>
      <c r="D13" s="3" t="s">
        <v>94</v>
      </c>
      <c r="E13" s="3" t="s">
        <v>107</v>
      </c>
      <c r="F13" s="3" t="s">
        <v>251</v>
      </c>
    </row>
    <row r="14" spans="2:6" ht="37.5" customHeight="1" x14ac:dyDescent="0.2">
      <c r="B14" s="5" t="s">
        <v>108</v>
      </c>
      <c r="C14" s="15" t="s">
        <v>109</v>
      </c>
      <c r="D14" s="5" t="s">
        <v>103</v>
      </c>
      <c r="E14" s="5" t="s">
        <v>209</v>
      </c>
      <c r="F14" s="5" t="s">
        <v>251</v>
      </c>
    </row>
    <row r="15" spans="2:6" ht="37.5" customHeight="1" x14ac:dyDescent="0.2">
      <c r="B15" s="3" t="s">
        <v>110</v>
      </c>
      <c r="C15" s="13">
        <f>C7+28*C8+119*C9</f>
        <v>472.37020000000001</v>
      </c>
      <c r="D15" s="3" t="s">
        <v>97</v>
      </c>
      <c r="E15" s="3" t="s">
        <v>111</v>
      </c>
      <c r="F15" s="3" t="s">
        <v>251</v>
      </c>
    </row>
    <row r="16" spans="2:6" ht="37.5" customHeight="1" x14ac:dyDescent="0.2">
      <c r="B16" s="5" t="s">
        <v>112</v>
      </c>
      <c r="C16" s="14">
        <f>C10+28*0.3952+119*0.1207</f>
        <v>188.6789</v>
      </c>
      <c r="D16" s="5" t="s">
        <v>97</v>
      </c>
      <c r="E16" s="5" t="s">
        <v>113</v>
      </c>
      <c r="F16" s="5" t="s">
        <v>251</v>
      </c>
    </row>
    <row r="17" spans="2:6" ht="37.5" customHeight="1" x14ac:dyDescent="0.2">
      <c r="B17" s="3" t="s">
        <v>114</v>
      </c>
      <c r="C17" s="13">
        <f>2*C15</f>
        <v>944.74040000000002</v>
      </c>
      <c r="D17" s="3" t="s">
        <v>97</v>
      </c>
      <c r="E17" s="3" t="s">
        <v>115</v>
      </c>
      <c r="F17" s="3" t="s">
        <v>251</v>
      </c>
    </row>
    <row r="18" spans="2:6" ht="37.5" customHeight="1" x14ac:dyDescent="0.2">
      <c r="B18" s="5" t="s">
        <v>116</v>
      </c>
      <c r="C18" s="14">
        <f>C12+8*1.15+32*0.3074</f>
        <v>89.306799999999996</v>
      </c>
      <c r="D18" s="5" t="s">
        <v>97</v>
      </c>
      <c r="E18" s="5" t="s">
        <v>209</v>
      </c>
      <c r="F18" s="5" t="s">
        <v>251</v>
      </c>
    </row>
    <row r="19" spans="2:6" ht="37.5" customHeight="1" x14ac:dyDescent="0.2">
      <c r="B19" s="3" t="s">
        <v>117</v>
      </c>
      <c r="C19" s="13">
        <f>C13+8*1.15+32*0.3074</f>
        <v>177.14680000000001</v>
      </c>
      <c r="D19" s="3" t="s">
        <v>97</v>
      </c>
      <c r="E19" s="3" t="s">
        <v>118</v>
      </c>
      <c r="F19" s="3" t="s">
        <v>251</v>
      </c>
    </row>
    <row r="20" spans="2:6" ht="21.75" customHeight="1" x14ac:dyDescent="0.2"/>
    <row r="21" spans="2:6" ht="24" customHeight="1" x14ac:dyDescent="0.2">
      <c r="B21" s="45" t="s">
        <v>268</v>
      </c>
      <c r="C21" s="45"/>
      <c r="D21" s="45"/>
      <c r="E21" s="45"/>
      <c r="F21" s="45"/>
    </row>
    <row r="22" spans="2:6" ht="54" customHeight="1" x14ac:dyDescent="0.2">
      <c r="B22" s="3" t="s">
        <v>119</v>
      </c>
      <c r="C22" s="16">
        <v>1.22</v>
      </c>
      <c r="D22" s="3" t="s">
        <v>120</v>
      </c>
      <c r="E22" s="3" t="s">
        <v>121</v>
      </c>
      <c r="F22" s="3" t="s">
        <v>253</v>
      </c>
    </row>
    <row r="23" spans="2:6" ht="54" customHeight="1" x14ac:dyDescent="0.2">
      <c r="B23" s="3" t="s">
        <v>122</v>
      </c>
      <c r="C23" s="13">
        <f>260*$C$22</f>
        <v>317.2</v>
      </c>
      <c r="D23" s="3" t="s">
        <v>97</v>
      </c>
      <c r="E23" s="3" t="s">
        <v>123</v>
      </c>
      <c r="F23" s="3" t="s">
        <v>253</v>
      </c>
    </row>
    <row r="24" spans="2:6" ht="54" customHeight="1" x14ac:dyDescent="0.2">
      <c r="B24" s="5" t="s">
        <v>124</v>
      </c>
      <c r="C24" s="14">
        <f>520*$C$22</f>
        <v>634.4</v>
      </c>
      <c r="D24" s="5" t="s">
        <v>97</v>
      </c>
      <c r="E24" s="5" t="s">
        <v>125</v>
      </c>
      <c r="F24" s="5" t="s">
        <v>253</v>
      </c>
    </row>
    <row r="25" spans="2:6" ht="54" customHeight="1" x14ac:dyDescent="0.2">
      <c r="B25" s="3" t="s">
        <v>126</v>
      </c>
      <c r="C25" s="13">
        <f>700*$C$22</f>
        <v>854</v>
      </c>
      <c r="D25" s="3" t="s">
        <v>97</v>
      </c>
      <c r="E25" s="3" t="s">
        <v>127</v>
      </c>
      <c r="F25" s="3" t="s">
        <v>253</v>
      </c>
    </row>
    <row r="26" spans="2:6" ht="54" customHeight="1" x14ac:dyDescent="0.2">
      <c r="B26" s="5" t="s">
        <v>128</v>
      </c>
      <c r="C26" s="14">
        <f>210*$C$22</f>
        <v>256.2</v>
      </c>
      <c r="D26" s="5" t="s">
        <v>97</v>
      </c>
      <c r="E26" s="5" t="s">
        <v>129</v>
      </c>
      <c r="F26" s="5" t="s">
        <v>253</v>
      </c>
    </row>
    <row r="27" spans="2:6" ht="54" customHeight="1" x14ac:dyDescent="0.2">
      <c r="B27" s="3" t="s">
        <v>130</v>
      </c>
      <c r="C27" s="13">
        <f>200*$C$22</f>
        <v>244</v>
      </c>
      <c r="D27" s="3" t="s">
        <v>97</v>
      </c>
      <c r="E27" s="3" t="s">
        <v>131</v>
      </c>
      <c r="F27" s="3" t="s">
        <v>253</v>
      </c>
    </row>
    <row r="28" spans="2:6" ht="54" customHeight="1" x14ac:dyDescent="0.2">
      <c r="B28" s="5" t="s">
        <v>132</v>
      </c>
      <c r="C28" s="17">
        <f>50500*$C$22</f>
        <v>61610</v>
      </c>
      <c r="D28" s="5" t="s">
        <v>133</v>
      </c>
      <c r="E28" s="5" t="s">
        <v>254</v>
      </c>
      <c r="F28" s="5" t="s">
        <v>253</v>
      </c>
    </row>
    <row r="29" spans="2:6" ht="54" customHeight="1" x14ac:dyDescent="0.2">
      <c r="B29" s="3" t="s">
        <v>134</v>
      </c>
      <c r="C29" s="6" t="s">
        <v>135</v>
      </c>
      <c r="D29" s="3" t="s">
        <v>209</v>
      </c>
      <c r="E29" s="3" t="s">
        <v>255</v>
      </c>
      <c r="F29" s="3" t="s">
        <v>253</v>
      </c>
    </row>
    <row r="30" spans="2:6" ht="21.75" customHeight="1" x14ac:dyDescent="0.2"/>
    <row r="31" spans="2:6" ht="24" customHeight="1" x14ac:dyDescent="0.2">
      <c r="B31" s="46" t="s">
        <v>136</v>
      </c>
      <c r="C31" s="46"/>
      <c r="D31" s="46"/>
      <c r="E31" s="46"/>
      <c r="F31" s="46"/>
    </row>
    <row r="32" spans="2:6" ht="27.75" customHeight="1" x14ac:dyDescent="0.2">
      <c r="B32" s="2" t="s">
        <v>137</v>
      </c>
      <c r="C32" s="2" t="s">
        <v>138</v>
      </c>
      <c r="D32" s="2" t="s">
        <v>139</v>
      </c>
      <c r="E32" s="2" t="s">
        <v>140</v>
      </c>
      <c r="F32" s="2" t="s">
        <v>141</v>
      </c>
    </row>
    <row r="33" spans="2:6" ht="37.5" customHeight="1" x14ac:dyDescent="0.2">
      <c r="B33" s="3" t="s">
        <v>256</v>
      </c>
      <c r="C33" s="8">
        <v>2</v>
      </c>
      <c r="D33" s="18">
        <f>C33*C15*Вводные!$C$22</f>
        <v>689660.49199999997</v>
      </c>
      <c r="E33" s="18">
        <f>C33*C23*Вводные!$C$22</f>
        <v>463112</v>
      </c>
      <c r="F33" s="3" t="s">
        <v>142</v>
      </c>
    </row>
    <row r="34" spans="2:6" ht="37.5" customHeight="1" x14ac:dyDescent="0.2">
      <c r="B34" s="5" t="s">
        <v>257</v>
      </c>
      <c r="C34" s="9">
        <v>3</v>
      </c>
      <c r="D34" s="17">
        <f>C34*C15*Вводные!$C$22</f>
        <v>1034490.738</v>
      </c>
      <c r="E34" s="17">
        <f>C34*C23*Вводные!$C$22</f>
        <v>694667.99999999988</v>
      </c>
      <c r="F34" s="19" t="s">
        <v>248</v>
      </c>
    </row>
    <row r="35" spans="2:6" ht="37.5" customHeight="1" x14ac:dyDescent="0.2">
      <c r="B35" s="3" t="s">
        <v>258</v>
      </c>
      <c r="C35" s="8">
        <f>Оптимизация!I10</f>
        <v>16</v>
      </c>
      <c r="D35" s="18">
        <f>C35*C15*Вводные!$C$22</f>
        <v>5517283.9359999998</v>
      </c>
      <c r="E35" s="18">
        <f>C35*C23*Вводные!$C$22</f>
        <v>3704896</v>
      </c>
      <c r="F35" s="3" t="s">
        <v>143</v>
      </c>
    </row>
    <row r="36" spans="2:6" ht="37.5" customHeight="1" x14ac:dyDescent="0.2">
      <c r="B36" s="5" t="s">
        <v>259</v>
      </c>
      <c r="C36" s="9">
        <f>Оптимизация!I11</f>
        <v>8</v>
      </c>
      <c r="D36" s="17">
        <f>C36*C15*Вводные!$C$22</f>
        <v>2758641.9679999999</v>
      </c>
      <c r="E36" s="17">
        <f>C36*C23*Вводные!$C$22</f>
        <v>1852448</v>
      </c>
      <c r="F36" s="5" t="s">
        <v>144</v>
      </c>
    </row>
    <row r="37" spans="2:6" ht="37.5" customHeight="1" x14ac:dyDescent="0.2">
      <c r="B37" s="3" t="s">
        <v>260</v>
      </c>
      <c r="C37" s="8">
        <f>Оптимизация!I12</f>
        <v>5</v>
      </c>
      <c r="D37" s="18">
        <f>C37*C15*Вводные!$C$22</f>
        <v>1724151.23</v>
      </c>
      <c r="E37" s="18">
        <f>C37*C23*Вводные!$C$22</f>
        <v>1157780</v>
      </c>
      <c r="F37" s="3" t="s">
        <v>145</v>
      </c>
    </row>
    <row r="38" spans="2:6" ht="37.5" customHeight="1" x14ac:dyDescent="0.2">
      <c r="B38" s="5" t="s">
        <v>261</v>
      </c>
      <c r="C38" s="9">
        <v>1</v>
      </c>
      <c r="D38" s="17">
        <f>C38*C15*Вводные!$C$22</f>
        <v>344830.24599999998</v>
      </c>
      <c r="E38" s="17">
        <f>C38*C23*Вводные!$C$22</f>
        <v>231556</v>
      </c>
      <c r="F38" s="5" t="s">
        <v>146</v>
      </c>
    </row>
    <row r="39" spans="2:6" ht="37.5" customHeight="1" x14ac:dyDescent="0.2">
      <c r="B39" s="3" t="s">
        <v>262</v>
      </c>
      <c r="C39" s="8">
        <v>2</v>
      </c>
      <c r="D39" s="18">
        <f>C39*C19*Вводные!$C$22</f>
        <v>258634.32800000001</v>
      </c>
      <c r="E39" s="6" t="s">
        <v>209</v>
      </c>
      <c r="F39" s="3" t="s">
        <v>147</v>
      </c>
    </row>
    <row r="40" spans="2:6" ht="37.5" customHeight="1" x14ac:dyDescent="0.2">
      <c r="B40" s="5" t="s">
        <v>263</v>
      </c>
      <c r="C40" s="9">
        <v>3</v>
      </c>
      <c r="D40" s="17">
        <f>C40*C18*Вводные!$C$22</f>
        <v>195581.89199999999</v>
      </c>
      <c r="E40" s="17">
        <f>C40*C28</f>
        <v>184830</v>
      </c>
      <c r="F40" s="5" t="s">
        <v>264</v>
      </c>
    </row>
    <row r="41" spans="2:6" ht="37.5" customHeight="1" x14ac:dyDescent="0.2">
      <c r="B41" s="3" t="s">
        <v>265</v>
      </c>
      <c r="C41" s="8">
        <v>1</v>
      </c>
      <c r="D41" s="18">
        <f>C41*C16*Вводные!$C$22</f>
        <v>137735.59700000001</v>
      </c>
      <c r="E41" s="6" t="s">
        <v>209</v>
      </c>
      <c r="F41" s="3" t="s">
        <v>148</v>
      </c>
    </row>
    <row r="42" spans="2:6" ht="21.75" customHeight="1" x14ac:dyDescent="0.2"/>
    <row r="43" spans="2:6" ht="54" customHeight="1" x14ac:dyDescent="0.2">
      <c r="B43" s="42" t="s">
        <v>266</v>
      </c>
      <c r="C43" s="42"/>
      <c r="D43" s="42"/>
      <c r="E43" s="42"/>
      <c r="F43" s="42"/>
    </row>
    <row r="44" spans="2:6" ht="85.5" customHeight="1" x14ac:dyDescent="0.2">
      <c r="B44" s="42" t="s">
        <v>267</v>
      </c>
      <c r="C44" s="42"/>
      <c r="D44" s="42"/>
      <c r="E44" s="42"/>
      <c r="F44" s="42"/>
    </row>
  </sheetData>
  <mergeCells count="6">
    <mergeCell ref="B44:F44"/>
    <mergeCell ref="B2:F2"/>
    <mergeCell ref="B6:F6"/>
    <mergeCell ref="B21:F21"/>
    <mergeCell ref="B31:F31"/>
    <mergeCell ref="B43:F4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L17"/>
  <sheetViews>
    <sheetView showGridLines="0" zoomScale="120" zoomScaleNormal="120" workbookViewId="0">
      <selection activeCell="B19" sqref="B19"/>
    </sheetView>
  </sheetViews>
  <sheetFormatPr baseColWidth="10" defaultColWidth="8.6640625" defaultRowHeight="16" x14ac:dyDescent="0.2"/>
  <cols>
    <col min="1" max="1" width="3" style="1" customWidth="1"/>
    <col min="2" max="2" width="34" style="1" customWidth="1"/>
    <col min="3" max="3" width="28" style="1" customWidth="1"/>
    <col min="4" max="4" width="8.33203125" style="1" customWidth="1"/>
    <col min="5" max="5" width="8.5" style="1" customWidth="1"/>
    <col min="6" max="6" width="9" style="1" customWidth="1"/>
    <col min="7" max="7" width="18.5" style="1" customWidth="1"/>
    <col min="8" max="8" width="18.6640625" style="1" customWidth="1"/>
    <col min="9" max="9" width="11.5" style="1" customWidth="1"/>
    <col min="10" max="10" width="17.6640625" style="1" customWidth="1"/>
    <col min="11" max="11" width="19" style="1" customWidth="1"/>
    <col min="12" max="12" width="13" style="1" customWidth="1"/>
    <col min="13" max="16384" width="8.6640625" style="1"/>
  </cols>
  <sheetData>
    <row r="1" spans="2:12" ht="15" customHeight="1" x14ac:dyDescent="0.2"/>
    <row r="2" spans="2:12" ht="31.5" customHeight="1" x14ac:dyDescent="0.2">
      <c r="B2" s="41" t="s">
        <v>269</v>
      </c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2:12" ht="7.5" customHeight="1" x14ac:dyDescent="0.2"/>
    <row r="4" spans="2:12" ht="54" customHeight="1" x14ac:dyDescent="0.2">
      <c r="B4" s="2" t="s">
        <v>149</v>
      </c>
      <c r="C4" s="2" t="s">
        <v>150</v>
      </c>
      <c r="D4" s="2" t="s">
        <v>151</v>
      </c>
      <c r="E4" s="2" t="s">
        <v>152</v>
      </c>
      <c r="F4" s="2" t="s">
        <v>153</v>
      </c>
      <c r="G4" s="2" t="s">
        <v>154</v>
      </c>
      <c r="H4" s="2" t="s">
        <v>270</v>
      </c>
      <c r="I4" s="2" t="s">
        <v>273</v>
      </c>
      <c r="J4" s="2" t="s">
        <v>155</v>
      </c>
      <c r="K4" s="2" t="s">
        <v>156</v>
      </c>
      <c r="L4" s="2" t="s">
        <v>157</v>
      </c>
    </row>
    <row r="5" spans="2:12" ht="21.75" customHeight="1" x14ac:dyDescent="0.2"/>
    <row r="6" spans="2:12" ht="24" customHeight="1" x14ac:dyDescent="0.2">
      <c r="B6" s="46" t="s">
        <v>158</v>
      </c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2:12" ht="35" customHeight="1" x14ac:dyDescent="0.2">
      <c r="B7" s="42" t="s">
        <v>271</v>
      </c>
      <c r="C7" s="42"/>
      <c r="D7" s="42"/>
      <c r="E7" s="42"/>
      <c r="F7" s="42"/>
      <c r="G7" s="42"/>
      <c r="H7" s="42"/>
      <c r="I7" s="42"/>
      <c r="J7" s="42"/>
      <c r="K7" s="42"/>
      <c r="L7" s="42"/>
    </row>
    <row r="8" spans="2:12" ht="20" customHeight="1" x14ac:dyDescent="0.2">
      <c r="B8" s="3" t="s">
        <v>159</v>
      </c>
      <c r="C8" s="3" t="s">
        <v>160</v>
      </c>
      <c r="D8" s="3" t="s">
        <v>46</v>
      </c>
      <c r="E8" s="7">
        <v>2</v>
      </c>
      <c r="F8" s="7">
        <v>1</v>
      </c>
      <c r="G8" s="8">
        <f>F8*E8*Вводные!$C$29*GPU!$C$6/(VRAM!$C$6+F8*Вводные!$C$24)</f>
        <v>20.354269533709967</v>
      </c>
      <c r="H8" s="8">
        <f>Вводные!$C$27</f>
        <v>334</v>
      </c>
      <c r="I8" s="8">
        <f>H8*E8</f>
        <v>668</v>
      </c>
      <c r="J8" s="18">
        <f>I8*Облака!$C$15*Вводные!$C$22</f>
        <v>230346604.32800004</v>
      </c>
      <c r="K8" s="18">
        <f>I8*Облака!$C$23*Вводные!$C$22</f>
        <v>154679408</v>
      </c>
      <c r="L8" s="20"/>
    </row>
    <row r="9" spans="2:12" ht="20" customHeight="1" x14ac:dyDescent="0.2">
      <c r="B9" s="5" t="s">
        <v>161</v>
      </c>
      <c r="C9" s="5" t="s">
        <v>162</v>
      </c>
      <c r="D9" s="5" t="s">
        <v>46</v>
      </c>
      <c r="E9" s="7">
        <v>2</v>
      </c>
      <c r="F9" s="7">
        <v>16</v>
      </c>
      <c r="G9" s="9">
        <f>F9*E9*Вводные!$C$29*GPU!$C$6/(VRAM!$C$6+F9*Вводные!$C$24)</f>
        <v>317.32727418250374</v>
      </c>
      <c r="H9" s="9">
        <f>ROUNDUP(Вводные!$C$28/G9,0)+0</f>
        <v>27</v>
      </c>
      <c r="I9" s="9">
        <f>H9*E9</f>
        <v>54</v>
      </c>
      <c r="J9" s="17">
        <f>I9*Облака!$C$15*Вводные!$C$22</f>
        <v>18620833.283999998</v>
      </c>
      <c r="K9" s="17">
        <f>I9*Облака!$C$23*Вводные!$C$22</f>
        <v>12504024</v>
      </c>
      <c r="L9" s="21"/>
    </row>
    <row r="10" spans="2:12" ht="37" customHeight="1" x14ac:dyDescent="0.2">
      <c r="B10" s="3" t="s">
        <v>163</v>
      </c>
      <c r="C10" s="3" t="s">
        <v>164</v>
      </c>
      <c r="D10" s="3" t="s">
        <v>46</v>
      </c>
      <c r="E10" s="7">
        <v>2</v>
      </c>
      <c r="F10" s="7">
        <v>68</v>
      </c>
      <c r="G10" s="8">
        <f>F10*E10*Вводные!$C$29*GPU!$C$6/(VRAM!$C$6+F10*Вводные!$C$24)</f>
        <v>1238.6619810342152</v>
      </c>
      <c r="H10" s="8">
        <f>ROUNDUP(Вводные!$C$28/G10,0)+1</f>
        <v>8</v>
      </c>
      <c r="I10" s="8">
        <f>H10*E10</f>
        <v>16</v>
      </c>
      <c r="J10" s="18">
        <f>I10*Облака!$C$15*Вводные!$C$22</f>
        <v>5517283.9359999998</v>
      </c>
      <c r="K10" s="18">
        <f>I10*Облака!$C$23*Вводные!$C$22</f>
        <v>3704896</v>
      </c>
      <c r="L10" s="20">
        <f>1-J10/$J$9</f>
        <v>0.70370370370370372</v>
      </c>
    </row>
    <row r="11" spans="2:12" ht="20" customHeight="1" x14ac:dyDescent="0.2">
      <c r="B11" s="5" t="s">
        <v>274</v>
      </c>
      <c r="C11" s="5" t="s">
        <v>164</v>
      </c>
      <c r="D11" s="5" t="s">
        <v>47</v>
      </c>
      <c r="E11" s="7">
        <v>2</v>
      </c>
      <c r="F11" s="7">
        <v>96</v>
      </c>
      <c r="G11" s="9">
        <f>F11*E11*Вводные!$C$29*GPU!$C$6/(VRAM!$D$6+F11*Вводные!$C$24)</f>
        <v>2928.0150985715159</v>
      </c>
      <c r="H11" s="9">
        <f>ROUNDUP(Вводные!$C$28/G11,0)+1</f>
        <v>4</v>
      </c>
      <c r="I11" s="9">
        <f>H11*E11</f>
        <v>8</v>
      </c>
      <c r="J11" s="17">
        <f>I11*Облака!$C$15*Вводные!$C$22</f>
        <v>2758641.9679999999</v>
      </c>
      <c r="K11" s="17">
        <f>I11*Облака!$C$23*Вводные!$C$22</f>
        <v>1852448</v>
      </c>
      <c r="L11" s="21">
        <f>1-J11/$J$9</f>
        <v>0.85185185185185186</v>
      </c>
    </row>
    <row r="12" spans="2:12" ht="21" customHeight="1" x14ac:dyDescent="0.2">
      <c r="B12" s="3" t="s">
        <v>165</v>
      </c>
      <c r="C12" s="3" t="s">
        <v>164</v>
      </c>
      <c r="D12" s="3" t="s">
        <v>48</v>
      </c>
      <c r="E12" s="7">
        <v>1</v>
      </c>
      <c r="F12" s="7">
        <v>96</v>
      </c>
      <c r="G12" s="8">
        <f>F12*E12*Вводные!$C$29*GPU!$C$6/(VRAM!$E$6+F12*Вводные!$C$24)</f>
        <v>2338.5198494836236</v>
      </c>
      <c r="H12" s="8">
        <f>ROUNDUP(Вводные!$C$28/G12,0)+1</f>
        <v>5</v>
      </c>
      <c r="I12" s="8">
        <f>H12*E12</f>
        <v>5</v>
      </c>
      <c r="J12" s="18">
        <f>I12*Облака!$C$15*Вводные!$C$22</f>
        <v>1724151.23</v>
      </c>
      <c r="K12" s="18">
        <f>I12*Облака!$C$23*Вводные!$C$22</f>
        <v>1157780</v>
      </c>
      <c r="L12" s="20">
        <f>1-J12/$J$9</f>
        <v>0.90740740740740744</v>
      </c>
    </row>
    <row r="13" spans="2:12" ht="21.75" customHeight="1" x14ac:dyDescent="0.2"/>
    <row r="14" spans="2:12" ht="24" customHeight="1" x14ac:dyDescent="0.2">
      <c r="B14" s="46" t="s">
        <v>166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</row>
    <row r="15" spans="2:12" ht="43" customHeight="1" x14ac:dyDescent="0.2">
      <c r="B15" s="42" t="s">
        <v>272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</row>
    <row r="16" spans="2:12" ht="42" customHeight="1" x14ac:dyDescent="0.2">
      <c r="B16" s="42" t="s">
        <v>275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</row>
    <row r="17" spans="2:12" ht="38" customHeight="1" x14ac:dyDescent="0.2">
      <c r="B17" s="42" t="s">
        <v>276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</row>
  </sheetData>
  <mergeCells count="7">
    <mergeCell ref="B16:L16"/>
    <mergeCell ref="B17:L17"/>
    <mergeCell ref="B2:L2"/>
    <mergeCell ref="B6:L6"/>
    <mergeCell ref="B7:L7"/>
    <mergeCell ref="B14:L14"/>
    <mergeCell ref="B15:L1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F15"/>
  <sheetViews>
    <sheetView showGridLines="0" tabSelected="1" zoomScale="120" zoomScaleNormal="120" workbookViewId="0">
      <selection activeCell="B16" sqref="B16"/>
    </sheetView>
  </sheetViews>
  <sheetFormatPr baseColWidth="10" defaultColWidth="8.6640625" defaultRowHeight="16" x14ac:dyDescent="0.2"/>
  <cols>
    <col min="1" max="1" width="3" style="1" customWidth="1"/>
    <col min="2" max="2" width="44" style="1" customWidth="1"/>
    <col min="3" max="3" width="14" style="1" customWidth="1"/>
    <col min="4" max="4" width="20" style="1" customWidth="1"/>
    <col min="5" max="5" width="21.1640625" style="24" customWidth="1"/>
    <col min="6" max="6" width="44" style="1" customWidth="1"/>
    <col min="7" max="16384" width="8.6640625" style="1"/>
  </cols>
  <sheetData>
    <row r="1" spans="2:6" ht="15" customHeight="1" x14ac:dyDescent="0.2"/>
    <row r="2" spans="2:6" ht="31.5" customHeight="1" x14ac:dyDescent="0.2">
      <c r="B2" s="41" t="s">
        <v>167</v>
      </c>
      <c r="C2" s="41"/>
      <c r="D2" s="41"/>
      <c r="E2" s="41"/>
      <c r="F2" s="41"/>
    </row>
    <row r="3" spans="2:6" ht="7.5" customHeight="1" x14ac:dyDescent="0.2"/>
    <row r="4" spans="2:6" ht="37.5" customHeight="1" x14ac:dyDescent="0.2">
      <c r="B4" s="2" t="s">
        <v>168</v>
      </c>
      <c r="C4" s="2" t="s">
        <v>169</v>
      </c>
      <c r="D4" s="2" t="s">
        <v>155</v>
      </c>
      <c r="E4" s="25" t="s">
        <v>156</v>
      </c>
      <c r="F4" s="2" t="s">
        <v>141</v>
      </c>
    </row>
    <row r="5" spans="2:6" ht="24" customHeight="1" x14ac:dyDescent="0.2">
      <c r="B5" s="3" t="s">
        <v>170</v>
      </c>
      <c r="C5" s="22" t="s">
        <v>171</v>
      </c>
      <c r="D5" s="18">
        <f>Оптимизация!J10</f>
        <v>5517283.9359999998</v>
      </c>
      <c r="E5" s="26">
        <f>Оптимизация!K10</f>
        <v>3704896</v>
      </c>
      <c r="F5" s="3" t="s">
        <v>172</v>
      </c>
    </row>
    <row r="6" spans="2:6" ht="43" customHeight="1" x14ac:dyDescent="0.2">
      <c r="B6" s="5" t="s">
        <v>173</v>
      </c>
      <c r="C6" s="23" t="s">
        <v>174</v>
      </c>
      <c r="D6" s="17">
        <f>Оптимизация!J11</f>
        <v>2758641.9679999999</v>
      </c>
      <c r="E6" s="27">
        <f>Оптимизация!K11</f>
        <v>1852448</v>
      </c>
      <c r="F6" s="5" t="s">
        <v>277</v>
      </c>
    </row>
    <row r="7" spans="2:6" ht="43" customHeight="1" x14ac:dyDescent="0.2">
      <c r="B7" s="3" t="s">
        <v>175</v>
      </c>
      <c r="C7" s="22" t="s">
        <v>176</v>
      </c>
      <c r="D7" s="18">
        <f>Оптимизация!J12</f>
        <v>1724151.23</v>
      </c>
      <c r="E7" s="26">
        <f>Оптимизация!K12</f>
        <v>1157780</v>
      </c>
      <c r="F7" s="3" t="s">
        <v>279</v>
      </c>
    </row>
    <row r="8" spans="2:6" ht="21.75" customHeight="1" x14ac:dyDescent="0.2"/>
    <row r="9" spans="2:6" ht="63" customHeight="1" x14ac:dyDescent="0.2">
      <c r="B9" s="48" t="s">
        <v>284</v>
      </c>
      <c r="C9" s="48"/>
      <c r="D9" s="48"/>
      <c r="E9" s="48"/>
      <c r="F9" s="48"/>
    </row>
    <row r="10" spans="2:6" ht="48" customHeight="1" x14ac:dyDescent="0.2">
      <c r="B10" s="48" t="s">
        <v>280</v>
      </c>
      <c r="C10" s="48"/>
      <c r="D10" s="48"/>
      <c r="E10" s="48"/>
      <c r="F10" s="48"/>
    </row>
    <row r="11" spans="2:6" ht="59" customHeight="1" x14ac:dyDescent="0.2">
      <c r="B11" s="48" t="s">
        <v>281</v>
      </c>
      <c r="C11" s="48"/>
      <c r="D11" s="48"/>
      <c r="E11" s="48"/>
      <c r="F11" s="48"/>
    </row>
    <row r="12" spans="2:6" ht="47" customHeight="1" x14ac:dyDescent="0.2">
      <c r="B12" s="48" t="s">
        <v>278</v>
      </c>
      <c r="C12" s="48"/>
      <c r="D12" s="48"/>
      <c r="E12" s="48"/>
      <c r="F12" s="48"/>
    </row>
    <row r="13" spans="2:6" ht="59" customHeight="1" x14ac:dyDescent="0.2">
      <c r="B13" s="48" t="s">
        <v>282</v>
      </c>
      <c r="C13" s="48"/>
      <c r="D13" s="48"/>
      <c r="E13" s="48"/>
      <c r="F13" s="48"/>
    </row>
    <row r="14" spans="2:6" ht="21.75" customHeight="1" x14ac:dyDescent="0.2"/>
    <row r="15" spans="2:6" ht="32" customHeight="1" x14ac:dyDescent="0.2">
      <c r="B15" s="42" t="s">
        <v>283</v>
      </c>
      <c r="C15" s="42"/>
      <c r="D15" s="42"/>
      <c r="E15" s="42"/>
      <c r="F15" s="42"/>
    </row>
  </sheetData>
  <mergeCells count="7">
    <mergeCell ref="B13:F13"/>
    <mergeCell ref="B15:F15"/>
    <mergeCell ref="B2:F2"/>
    <mergeCell ref="B9:F9"/>
    <mergeCell ref="B10:F10"/>
    <mergeCell ref="B11:F11"/>
    <mergeCell ref="B12:F1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F15"/>
  <sheetViews>
    <sheetView showGridLines="0" zoomScale="120" zoomScaleNormal="120" workbookViewId="0">
      <selection activeCell="C16" sqref="C16"/>
    </sheetView>
  </sheetViews>
  <sheetFormatPr baseColWidth="10" defaultColWidth="8.6640625" defaultRowHeight="16" x14ac:dyDescent="0.2"/>
  <cols>
    <col min="1" max="1" width="3" style="1" customWidth="1"/>
    <col min="2" max="2" width="8.83203125" style="1" customWidth="1"/>
    <col min="3" max="3" width="53.6640625" style="1" customWidth="1"/>
    <col min="4" max="4" width="52" style="1" customWidth="1"/>
    <col min="5" max="5" width="12" style="1" customWidth="1"/>
    <col min="6" max="6" width="52" style="1" customWidth="1"/>
    <col min="7" max="16384" width="8.6640625" style="1"/>
  </cols>
  <sheetData>
    <row r="1" spans="2:6" ht="15" customHeight="1" x14ac:dyDescent="0.2"/>
    <row r="2" spans="2:6" ht="31.5" customHeight="1" x14ac:dyDescent="0.2">
      <c r="B2" s="41" t="s">
        <v>177</v>
      </c>
      <c r="C2" s="41"/>
      <c r="D2" s="41"/>
      <c r="E2" s="41"/>
      <c r="F2" s="41"/>
    </row>
    <row r="3" spans="2:6" ht="7.5" customHeight="1" x14ac:dyDescent="0.2"/>
    <row r="4" spans="2:6" ht="37.5" customHeight="1" x14ac:dyDescent="0.2">
      <c r="B4" s="2" t="s">
        <v>178</v>
      </c>
      <c r="C4" s="2" t="s">
        <v>179</v>
      </c>
      <c r="D4" s="2" t="s">
        <v>180</v>
      </c>
      <c r="E4" s="2" t="s">
        <v>181</v>
      </c>
      <c r="F4" s="2" t="s">
        <v>141</v>
      </c>
    </row>
    <row r="5" spans="2:6" ht="54" customHeight="1" x14ac:dyDescent="0.2">
      <c r="B5" s="28">
        <v>1</v>
      </c>
      <c r="C5" s="3" t="s">
        <v>182</v>
      </c>
      <c r="D5" s="3" t="s">
        <v>183</v>
      </c>
      <c r="E5" s="3" t="s">
        <v>184</v>
      </c>
      <c r="F5" s="3" t="s">
        <v>185</v>
      </c>
    </row>
    <row r="6" spans="2:6" ht="37.5" customHeight="1" x14ac:dyDescent="0.2">
      <c r="B6" s="29">
        <v>2</v>
      </c>
      <c r="C6" s="5" t="s">
        <v>186</v>
      </c>
      <c r="D6" s="5" t="s">
        <v>187</v>
      </c>
      <c r="E6" s="5" t="s">
        <v>184</v>
      </c>
      <c r="F6" s="5" t="s">
        <v>290</v>
      </c>
    </row>
    <row r="7" spans="2:6" ht="54" customHeight="1" x14ac:dyDescent="0.2">
      <c r="B7" s="28">
        <v>3</v>
      </c>
      <c r="C7" s="3" t="s">
        <v>188</v>
      </c>
      <c r="D7" s="3" t="s">
        <v>189</v>
      </c>
      <c r="E7" s="3" t="s">
        <v>184</v>
      </c>
      <c r="F7" s="3" t="s">
        <v>285</v>
      </c>
    </row>
    <row r="8" spans="2:6" ht="54" customHeight="1" x14ac:dyDescent="0.2">
      <c r="B8" s="29">
        <v>4</v>
      </c>
      <c r="C8" s="5" t="s">
        <v>287</v>
      </c>
      <c r="D8" s="5" t="s">
        <v>190</v>
      </c>
      <c r="E8" s="5" t="s">
        <v>184</v>
      </c>
      <c r="F8" s="5" t="s">
        <v>191</v>
      </c>
    </row>
    <row r="9" spans="2:6" ht="37.5" customHeight="1" x14ac:dyDescent="0.2">
      <c r="B9" s="28">
        <v>5</v>
      </c>
      <c r="C9" s="3" t="s">
        <v>192</v>
      </c>
      <c r="D9" s="3" t="s">
        <v>193</v>
      </c>
      <c r="E9" s="3" t="s">
        <v>184</v>
      </c>
      <c r="F9" s="3" t="s">
        <v>194</v>
      </c>
    </row>
    <row r="10" spans="2:6" ht="37.5" customHeight="1" x14ac:dyDescent="0.2">
      <c r="B10" s="29">
        <v>6</v>
      </c>
      <c r="C10" s="5" t="s">
        <v>195</v>
      </c>
      <c r="D10" s="5" t="s">
        <v>196</v>
      </c>
      <c r="E10" s="5" t="s">
        <v>184</v>
      </c>
      <c r="F10" s="5" t="s">
        <v>288</v>
      </c>
    </row>
    <row r="11" spans="2:6" ht="37.5" customHeight="1" x14ac:dyDescent="0.2">
      <c r="B11" s="28">
        <v>7</v>
      </c>
      <c r="C11" s="3" t="s">
        <v>197</v>
      </c>
      <c r="D11" s="3" t="s">
        <v>198</v>
      </c>
      <c r="E11" s="3" t="s">
        <v>184</v>
      </c>
      <c r="F11" s="3" t="s">
        <v>199</v>
      </c>
    </row>
    <row r="12" spans="2:6" ht="37.5" customHeight="1" x14ac:dyDescent="0.2">
      <c r="B12" s="29">
        <v>8</v>
      </c>
      <c r="C12" s="5" t="s">
        <v>286</v>
      </c>
      <c r="D12" s="5" t="s">
        <v>200</v>
      </c>
      <c r="E12" s="5" t="s">
        <v>184</v>
      </c>
      <c r="F12" s="5" t="s">
        <v>201</v>
      </c>
    </row>
    <row r="13" spans="2:6" ht="37.5" customHeight="1" x14ac:dyDescent="0.2">
      <c r="B13" s="28">
        <v>9</v>
      </c>
      <c r="C13" s="3" t="s">
        <v>291</v>
      </c>
      <c r="D13" s="3" t="s">
        <v>202</v>
      </c>
      <c r="E13" s="3" t="s">
        <v>184</v>
      </c>
      <c r="F13" s="3" t="s">
        <v>203</v>
      </c>
    </row>
    <row r="14" spans="2:6" ht="21.75" customHeight="1" x14ac:dyDescent="0.2"/>
    <row r="15" spans="2:6" ht="36" customHeight="1" x14ac:dyDescent="0.2">
      <c r="B15" s="42" t="s">
        <v>289</v>
      </c>
      <c r="C15" s="42"/>
      <c r="D15" s="42"/>
      <c r="E15" s="42"/>
      <c r="F15" s="42"/>
    </row>
  </sheetData>
  <mergeCells count="2">
    <mergeCell ref="B2:F2"/>
    <mergeCell ref="B15:F15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Вводные</vt:lpstr>
      <vt:lpstr>VRAM</vt:lpstr>
      <vt:lpstr>GPU</vt:lpstr>
      <vt:lpstr>Облака</vt:lpstr>
      <vt:lpstr>Оптимизация</vt:lpstr>
      <vt:lpstr>Вывод</vt:lpstr>
      <vt:lpstr>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Z.ai</dc:creator>
  <dc:description/>
  <cp:lastModifiedBy>Sergei Pavlenko</cp:lastModifiedBy>
  <cp:revision>0</cp:revision>
  <dcterms:created xsi:type="dcterms:W3CDTF">2026-09-25T14:45:06Z</dcterms:created>
  <dcterms:modified xsi:type="dcterms:W3CDTF">2026-09-26T12:30:09Z</dcterms:modified>
  <dc:language>ru-RU</dc:language>
</cp:coreProperties>
</file>